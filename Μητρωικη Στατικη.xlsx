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STOIXEIA" sheetId="1" r:id="rId4"/>
  </sheets>
  <definedNames/>
  <calcPr/>
  <extLst>
    <ext uri="GoogleSheetsCustomDataVersion2">
      <go:sheetsCustomData xmlns:go="http://customooxmlschemas.google.com/" r:id="rId5" roundtripDataChecksum="TPQvjFJKBVFD16X+n72iv8PSxtsAiLNNONmHfmSrovU="/>
    </ext>
  </extLst>
</workbook>
</file>

<file path=xl/sharedStrings.xml><?xml version="1.0" encoding="utf-8"?>
<sst xmlns="http://schemas.openxmlformats.org/spreadsheetml/2006/main" count="94" uniqueCount="54">
  <si>
    <t>1o ΣΤΟΙΧΕΙΟ</t>
  </si>
  <si>
    <t>Συνολικό Κ (φορεα) στο καθολικο</t>
  </si>
  <si>
    <t>u</t>
  </si>
  <si>
    <r>
      <rPr>
        <rFont val="Calibri"/>
        <color theme="1"/>
        <sz val="11.0"/>
      </rPr>
      <t>E(kPa=kN/m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)=</t>
    </r>
  </si>
  <si>
    <t>I=</t>
  </si>
  <si>
    <t>m^4</t>
  </si>
  <si>
    <t>A (m^2)=</t>
  </si>
  <si>
    <t>L=</t>
  </si>
  <si>
    <t>m</t>
  </si>
  <si>
    <t>a1 (μοιρες)=</t>
  </si>
  <si>
    <t>u1</t>
  </si>
  <si>
    <t xml:space="preserve">K1 (L)=  Τοπικο συστημα </t>
  </si>
  <si>
    <t>u2</t>
  </si>
  <si>
    <t>u3</t>
  </si>
  <si>
    <t>u4</t>
  </si>
  <si>
    <t>u5</t>
  </si>
  <si>
    <t>u6</t>
  </si>
  <si>
    <t>u7</t>
  </si>
  <si>
    <t>u8</t>
  </si>
  <si>
    <t>u9</t>
  </si>
  <si>
    <t>Λppf(1)= μητρωο μετασχηματισμου</t>
  </si>
  <si>
    <t>u10</t>
  </si>
  <si>
    <t>u11</t>
  </si>
  <si>
    <t>u12</t>
  </si>
  <si>
    <t>ΕΠΙΛΥΣΗ ΣΥΣΤΗΜΑΤΟΣ</t>
  </si>
  <si>
    <t>F=</t>
  </si>
  <si>
    <t xml:space="preserve">K1 (G)=  Καθολικο συστημα </t>
  </si>
  <si>
    <t>ΕΥΡΕΣΗ Μ-Q-N</t>
  </si>
  <si>
    <t>Amak</t>
  </si>
  <si>
    <t>ina</t>
  </si>
  <si>
    <t>UG=</t>
  </si>
  <si>
    <r>
      <rPr>
        <rFont val="Calibri"/>
        <color theme="1"/>
        <sz val="20.0"/>
      </rPr>
      <t>S</t>
    </r>
    <r>
      <rPr>
        <rFont val="Calibri"/>
        <color theme="1"/>
        <sz val="20.0"/>
        <vertAlign val="subscript"/>
      </rPr>
      <t>L</t>
    </r>
    <r>
      <rPr>
        <rFont val="Calibri"/>
        <color theme="1"/>
        <sz val="20.0"/>
      </rPr>
      <t>=</t>
    </r>
  </si>
  <si>
    <t>Fo=</t>
  </si>
  <si>
    <r>
      <rPr>
        <rFont val="Calibri"/>
        <color theme="1"/>
        <sz val="20.0"/>
      </rPr>
      <t>F</t>
    </r>
    <r>
      <rPr>
        <rFont val="Calibri"/>
        <color theme="1"/>
        <sz val="20.0"/>
        <vertAlign val="subscript"/>
      </rPr>
      <t>L</t>
    </r>
    <r>
      <rPr>
        <rFont val="Calibri"/>
        <color theme="1"/>
        <sz val="20.0"/>
      </rPr>
      <t>=</t>
    </r>
  </si>
  <si>
    <t>2o ΣΤΟΙΧΕΙΟ</t>
  </si>
  <si>
    <t>v1</t>
  </si>
  <si>
    <t>f1</t>
  </si>
  <si>
    <r>
      <rPr>
        <rFont val="Calibri"/>
        <color theme="1"/>
        <sz val="11.0"/>
      </rPr>
      <t>E(kPa=kN/m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)=</t>
    </r>
  </si>
  <si>
    <t>v2</t>
  </si>
  <si>
    <t>f2</t>
  </si>
  <si>
    <t>a2 (μοιρες)=</t>
  </si>
  <si>
    <t xml:space="preserve">K2 (L)=  Τοπικο συστημα </t>
  </si>
  <si>
    <r>
      <rPr>
        <rFont val="Calibri"/>
        <color theme="1"/>
        <sz val="20.0"/>
      </rPr>
      <t>S</t>
    </r>
    <r>
      <rPr>
        <rFont val="Calibri"/>
        <color theme="1"/>
        <sz val="20.0"/>
        <vertAlign val="subscript"/>
      </rPr>
      <t>L</t>
    </r>
    <r>
      <rPr>
        <rFont val="Calibri"/>
        <color theme="1"/>
        <sz val="20.0"/>
      </rPr>
      <t>=</t>
    </r>
  </si>
  <si>
    <r>
      <rPr>
        <rFont val="Calibri"/>
        <color theme="1"/>
        <sz val="20.0"/>
      </rPr>
      <t>F</t>
    </r>
    <r>
      <rPr>
        <rFont val="Calibri"/>
        <color theme="1"/>
        <sz val="20.0"/>
        <vertAlign val="subscript"/>
      </rPr>
      <t>L</t>
    </r>
    <r>
      <rPr>
        <rFont val="Calibri"/>
        <color theme="1"/>
        <sz val="20.0"/>
      </rPr>
      <t>=</t>
    </r>
  </si>
  <si>
    <t>Λppf (2)= μητρωο μετασχηματισμου</t>
  </si>
  <si>
    <t>3o ΣΤΟΙΧΕΙΟ</t>
  </si>
  <si>
    <r>
      <rPr>
        <rFont val="Calibri"/>
        <color theme="1"/>
        <sz val="20.0"/>
      </rPr>
      <t>S</t>
    </r>
    <r>
      <rPr>
        <rFont val="Calibri"/>
        <color theme="1"/>
        <sz val="20.0"/>
        <vertAlign val="subscript"/>
      </rPr>
      <t>L</t>
    </r>
    <r>
      <rPr>
        <rFont val="Calibri"/>
        <color theme="1"/>
        <sz val="20.0"/>
      </rPr>
      <t>=</t>
    </r>
  </si>
  <si>
    <r>
      <rPr>
        <rFont val="Calibri"/>
        <color theme="1"/>
        <sz val="20.0"/>
      </rPr>
      <t>F</t>
    </r>
    <r>
      <rPr>
        <rFont val="Calibri"/>
        <color theme="1"/>
        <sz val="20.0"/>
        <vertAlign val="subscript"/>
      </rPr>
      <t>L</t>
    </r>
    <r>
      <rPr>
        <rFont val="Calibri"/>
        <color theme="1"/>
        <sz val="20.0"/>
      </rPr>
      <t>=</t>
    </r>
  </si>
  <si>
    <t xml:space="preserve">K2 (G)=  Καθολικο συστημα </t>
  </si>
  <si>
    <r>
      <rPr>
        <rFont val="Calibri"/>
        <color theme="1"/>
        <sz val="11.0"/>
      </rPr>
      <t>E(kPa=kN/m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)=</t>
    </r>
  </si>
  <si>
    <t>a3 (μοιρες)=</t>
  </si>
  <si>
    <t xml:space="preserve">K3 (L)=  Τοπικο συστημα </t>
  </si>
  <si>
    <t>Λppf (3)= μητρωο μετασχηματισμου</t>
  </si>
  <si>
    <t xml:space="preserve">K3 (G)=  Καθολικο συστημα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</si>
</sst>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>
      <sz val="16.0"/>
      <color rgb="FF000000"/>
      <name val="Calibri"/>
    </font>
    <font>
      <sz val="16.0"/>
      <color rgb="FFC00000"/>
      <name val="Calibri"/>
    </font>
    <font>
      <sz val="11.0"/>
      <color rgb="FF595959"/>
      <name val="Calibri"/>
    </font>
    <font>
      <sz val="11.0"/>
      <color theme="0"/>
      <name val="Calibri"/>
    </font>
    <font/>
    <font>
      <sz val="2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7CAAC"/>
        <bgColor rgb="FFF7CAAC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1" numFmtId="0" xfId="0" applyAlignment="1" applyFont="1">
      <alignment horizontal="right"/>
    </xf>
    <xf borderId="1" fillId="2" fontId="1" numFmtId="0" xfId="0" applyBorder="1" applyFill="1" applyFont="1"/>
    <xf borderId="2" fillId="2" fontId="5" numFmtId="0" xfId="0" applyBorder="1" applyFont="1"/>
    <xf borderId="0" fillId="0" fontId="1" numFmtId="0" xfId="0" applyAlignment="1" applyFont="1">
      <alignment textRotation="90" vertical="center"/>
    </xf>
    <xf borderId="3" fillId="3" fontId="1" numFmtId="2" xfId="0" applyAlignment="1" applyBorder="1" applyFill="1" applyFont="1" applyNumberFormat="1">
      <alignment horizontal="right" vertical="center"/>
    </xf>
    <xf borderId="4" fillId="3" fontId="1" numFmtId="2" xfId="0" applyAlignment="1" applyBorder="1" applyFont="1" applyNumberFormat="1">
      <alignment horizontal="right" vertical="center"/>
    </xf>
    <xf borderId="5" fillId="3" fontId="1" numFmtId="2" xfId="0" applyAlignment="1" applyBorder="1" applyFont="1" applyNumberFormat="1">
      <alignment horizontal="right" vertical="center"/>
    </xf>
    <xf borderId="6" fillId="2" fontId="1" numFmtId="0" xfId="0" applyBorder="1" applyFont="1"/>
    <xf borderId="0" fillId="0" fontId="1" numFmtId="0" xfId="0" applyAlignment="1" applyFont="1">
      <alignment horizontal="center" shrinkToFit="0" textRotation="90" vertical="center" wrapText="1"/>
    </xf>
    <xf borderId="1" fillId="3" fontId="1" numFmtId="2" xfId="0" applyAlignment="1" applyBorder="1" applyFont="1" applyNumberFormat="1">
      <alignment horizontal="right" vertical="center"/>
    </xf>
    <xf borderId="7" fillId="3" fontId="1" numFmtId="2" xfId="0" applyAlignment="1" applyBorder="1" applyFont="1" applyNumberFormat="1">
      <alignment horizontal="right" vertical="center"/>
    </xf>
    <xf borderId="8" fillId="2" fontId="1" numFmtId="0" xfId="0" applyBorder="1" applyFont="1"/>
    <xf borderId="1" fillId="4" fontId="1" numFmtId="2" xfId="0" applyAlignment="1" applyBorder="1" applyFill="1" applyFont="1" applyNumberFormat="1">
      <alignment horizontal="right" vertical="center"/>
    </xf>
    <xf borderId="9" fillId="3" fontId="1" numFmtId="2" xfId="0" applyAlignment="1" applyBorder="1" applyFont="1" applyNumberFormat="1">
      <alignment horizontal="right" vertical="center"/>
    </xf>
    <xf borderId="0" fillId="0" fontId="6" numFmtId="0" xfId="0" applyFont="1"/>
    <xf borderId="10" fillId="3" fontId="1" numFmtId="2" xfId="0" applyAlignment="1" applyBorder="1" applyFont="1" applyNumberFormat="1">
      <alignment horizontal="right" vertical="center"/>
    </xf>
    <xf borderId="11" fillId="3" fontId="1" numFmtId="2" xfId="0" applyAlignment="1" applyBorder="1" applyFont="1" applyNumberFormat="1">
      <alignment horizontal="right" vertical="center"/>
    </xf>
    <xf borderId="12" fillId="3" fontId="1" numFmtId="2" xfId="0" applyAlignment="1" applyBorder="1" applyFont="1" applyNumberFormat="1">
      <alignment horizontal="right" vertical="center"/>
    </xf>
    <xf borderId="13" fillId="2" fontId="1" numFmtId="0" xfId="0" applyBorder="1" applyFont="1"/>
    <xf borderId="0" fillId="0" fontId="1" numFmtId="0" xfId="0" applyAlignment="1" applyFont="1">
      <alignment horizontal="center"/>
    </xf>
    <xf borderId="14" fillId="2" fontId="1" numFmtId="0" xfId="0" applyBorder="1" applyFont="1"/>
    <xf borderId="14" fillId="2" fontId="1" numFmtId="2" xfId="0" applyBorder="1" applyFont="1" applyNumberFormat="1"/>
    <xf borderId="15" fillId="0" fontId="1" numFmtId="0" xfId="0" applyBorder="1" applyFont="1"/>
    <xf borderId="16" fillId="0" fontId="1" numFmtId="0" xfId="0" applyBorder="1" applyFont="1"/>
    <xf borderId="17" fillId="3" fontId="1" numFmtId="2" xfId="0" applyAlignment="1" applyBorder="1" applyFont="1" applyNumberFormat="1">
      <alignment horizontal="right" vertical="center"/>
    </xf>
    <xf borderId="18" fillId="3" fontId="1" numFmtId="2" xfId="0" applyAlignment="1" applyBorder="1" applyFont="1" applyNumberFormat="1">
      <alignment horizontal="right" vertical="center"/>
    </xf>
    <xf borderId="19" fillId="3" fontId="1" numFmtId="2" xfId="0" applyAlignment="1" applyBorder="1" applyFont="1" applyNumberFormat="1">
      <alignment horizontal="right" vertical="center"/>
    </xf>
    <xf borderId="20" fillId="3" fontId="1" numFmtId="2" xfId="0" applyAlignment="1" applyBorder="1" applyFont="1" applyNumberFormat="1">
      <alignment horizontal="right" vertical="center"/>
    </xf>
    <xf borderId="21" fillId="0" fontId="1" numFmtId="0" xfId="0" applyBorder="1" applyFont="1"/>
    <xf borderId="9" fillId="4" fontId="1" numFmtId="2" xfId="0" applyAlignment="1" applyBorder="1" applyFont="1" applyNumberFormat="1">
      <alignment horizontal="right" vertical="center"/>
    </xf>
    <xf borderId="22" fillId="4" fontId="1" numFmtId="2" xfId="0" applyAlignment="1" applyBorder="1" applyFont="1" applyNumberFormat="1">
      <alignment horizontal="right" vertical="center"/>
    </xf>
    <xf borderId="23" fillId="4" fontId="1" numFmtId="2" xfId="0" applyAlignment="1" applyBorder="1" applyFont="1" applyNumberFormat="1">
      <alignment horizontal="right" vertical="center"/>
    </xf>
    <xf borderId="24" fillId="3" fontId="1" numFmtId="2" xfId="0" applyAlignment="1" applyBorder="1" applyFont="1" applyNumberFormat="1">
      <alignment horizontal="right" vertical="center"/>
    </xf>
    <xf borderId="25" fillId="3" fontId="1" numFmtId="2" xfId="0" applyAlignment="1" applyBorder="1" applyFont="1" applyNumberFormat="1">
      <alignment horizontal="right" vertical="center"/>
    </xf>
    <xf borderId="26" fillId="3" fontId="1" numFmtId="2" xfId="0" applyAlignment="1" applyBorder="1" applyFont="1" applyNumberFormat="1">
      <alignment horizontal="right" vertical="center"/>
    </xf>
    <xf borderId="27" fillId="3" fontId="1" numFmtId="2" xfId="0" applyAlignment="1" applyBorder="1" applyFont="1" applyNumberFormat="1">
      <alignment horizontal="right" vertical="center"/>
    </xf>
    <xf borderId="28" fillId="0" fontId="2" numFmtId="0" xfId="0" applyAlignment="1" applyBorder="1" applyFont="1">
      <alignment horizontal="center"/>
    </xf>
    <xf borderId="29" fillId="0" fontId="7" numFmtId="0" xfId="0" applyBorder="1" applyFont="1"/>
    <xf borderId="30" fillId="0" fontId="7" numFmtId="0" xfId="0" applyBorder="1" applyFont="1"/>
    <xf borderId="31" fillId="0" fontId="7" numFmtId="0" xfId="0" applyBorder="1" applyFont="1"/>
    <xf borderId="32" fillId="0" fontId="7" numFmtId="0" xfId="0" applyBorder="1" applyFont="1"/>
    <xf borderId="33" fillId="0" fontId="7" numFmtId="0" xfId="0" applyBorder="1" applyFont="1"/>
    <xf borderId="10" fillId="4" fontId="1" numFmtId="2" xfId="0" applyAlignment="1" applyBorder="1" applyFont="1" applyNumberFormat="1">
      <alignment horizontal="right" vertical="center"/>
    </xf>
    <xf borderId="11" fillId="4" fontId="1" numFmtId="2" xfId="0" applyAlignment="1" applyBorder="1" applyFont="1" applyNumberFormat="1">
      <alignment horizontal="right" vertical="center"/>
    </xf>
    <xf borderId="34" fillId="4" fontId="1" numFmtId="2" xfId="0" applyAlignment="1" applyBorder="1" applyFont="1" applyNumberFormat="1">
      <alignment horizontal="right" vertical="center"/>
    </xf>
    <xf borderId="35" fillId="4" fontId="1" numFmtId="2" xfId="0" applyAlignment="1" applyBorder="1" applyFont="1" applyNumberFormat="1">
      <alignment horizontal="right" vertical="center"/>
    </xf>
    <xf borderId="0" fillId="0" fontId="1" numFmtId="0" xfId="0" applyAlignment="1" applyFont="1">
      <alignment horizontal="center" vertical="center"/>
    </xf>
    <xf borderId="0" fillId="0" fontId="8" numFmtId="0" xfId="0" applyAlignment="1" applyFont="1">
      <alignment horizontal="center" shrinkToFit="0" textRotation="90" vertical="center" wrapText="1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3.29"/>
    <col customWidth="1" min="3" max="3" width="10.0"/>
    <col customWidth="1" min="4" max="4" width="12.29"/>
    <col customWidth="1" min="5" max="5" width="13.29"/>
    <col customWidth="1" min="6" max="6" width="11.57"/>
    <col customWidth="1" min="7" max="7" width="12.29"/>
    <col customWidth="1" min="8" max="8" width="13.29"/>
    <col customWidth="1" min="9" max="9" width="11.57"/>
    <col customWidth="1" min="10" max="13" width="8.86"/>
    <col customWidth="1" min="14" max="14" width="15.29"/>
    <col customWidth="1" min="15" max="15" width="13.29"/>
    <col customWidth="1" min="16" max="16" width="13.71"/>
    <col customWidth="1" min="17" max="17" width="15.71"/>
    <col customWidth="1" min="18" max="18" width="15.29"/>
    <col customWidth="1" min="19" max="19" width="14.71"/>
    <col customWidth="1" min="20" max="20" width="15.29"/>
    <col customWidth="1" min="21" max="22" width="14.29"/>
    <col customWidth="1" min="23" max="23" width="13.29"/>
    <col customWidth="1" min="24" max="24" width="11.71"/>
    <col customWidth="1" min="25" max="25" width="11.29"/>
    <col customWidth="1" min="26" max="44" width="8.86"/>
  </cols>
  <sheetData>
    <row r="1" ht="14.25" customHeight="1">
      <c r="A1" s="1"/>
      <c r="B1" s="2" t="s">
        <v>0</v>
      </c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14.25" customHeight="1">
      <c r="A2" s="1"/>
      <c r="J2" s="1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2" t="s">
        <v>1</v>
      </c>
      <c r="AB3" s="1"/>
      <c r="AC3" s="2" t="s">
        <v>2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ht="15.75" customHeight="1">
      <c r="A4" s="1"/>
      <c r="B4" s="5" t="s">
        <v>3</v>
      </c>
      <c r="D4" s="6">
        <f>3*10^7</f>
        <v>30000000</v>
      </c>
      <c r="E4" s="1"/>
      <c r="F4" s="1" t="s">
        <v>4</v>
      </c>
      <c r="G4" s="6">
        <f>0.3*0.4^3/12</f>
        <v>0.0016</v>
      </c>
      <c r="H4" s="1" t="s">
        <v>5</v>
      </c>
      <c r="I4" s="1"/>
      <c r="J4" s="1"/>
      <c r="K4" s="1"/>
      <c r="L4" s="1"/>
      <c r="M4" s="1"/>
      <c r="N4" s="1"/>
      <c r="O4" s="1"/>
      <c r="AB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ht="14.25" customHeight="1">
      <c r="A5" s="1"/>
      <c r="B5" s="5" t="s">
        <v>6</v>
      </c>
      <c r="D5" s="6">
        <f>0.3*0.4</f>
        <v>0.12</v>
      </c>
      <c r="E5" s="1"/>
      <c r="F5" s="1" t="s">
        <v>7</v>
      </c>
      <c r="G5" s="6">
        <v>8.0</v>
      </c>
      <c r="H5" s="1" t="s">
        <v>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ht="14.25" customHeight="1">
      <c r="A6" s="1"/>
      <c r="B6" s="5" t="s">
        <v>9</v>
      </c>
      <c r="D6" s="6">
        <v>0.0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>
        <v>1.0</v>
      </c>
      <c r="Q6" s="1">
        <v>2.0</v>
      </c>
      <c r="R6" s="1">
        <v>3.0</v>
      </c>
      <c r="S6" s="1">
        <v>4.0</v>
      </c>
      <c r="T6" s="1">
        <v>5.0</v>
      </c>
      <c r="U6" s="1">
        <v>6.0</v>
      </c>
      <c r="V6" s="1">
        <v>7.0</v>
      </c>
      <c r="W6" s="1">
        <v>8.0</v>
      </c>
      <c r="X6" s="1">
        <v>9.0</v>
      </c>
      <c r="Y6" s="1">
        <v>10.0</v>
      </c>
      <c r="Z6" s="1">
        <v>11.0</v>
      </c>
      <c r="AA6" s="1">
        <v>12.0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ht="15.0" customHeight="1">
      <c r="A7" s="1"/>
      <c r="B7" s="1"/>
      <c r="C7" s="1"/>
      <c r="D7" s="7">
        <v>1.0</v>
      </c>
      <c r="E7" s="7">
        <v>2.0</v>
      </c>
      <c r="F7" s="7">
        <v>3.0</v>
      </c>
      <c r="G7" s="7">
        <v>4.0</v>
      </c>
      <c r="H7" s="7">
        <v>5.0</v>
      </c>
      <c r="I7" s="7">
        <v>6.0</v>
      </c>
      <c r="J7" s="1"/>
      <c r="K7" s="1"/>
      <c r="L7" s="1"/>
      <c r="M7" s="1"/>
      <c r="N7" s="8"/>
      <c r="O7" s="1">
        <v>1.0</v>
      </c>
      <c r="P7" s="9">
        <f t="shared" ref="P7:U7" si="1">D24</f>
        <v>450000</v>
      </c>
      <c r="Q7" s="9">
        <f t="shared" si="1"/>
        <v>0</v>
      </c>
      <c r="R7" s="9">
        <f t="shared" si="1"/>
        <v>0</v>
      </c>
      <c r="S7" s="9">
        <f t="shared" si="1"/>
        <v>-450000</v>
      </c>
      <c r="T7" s="9">
        <f t="shared" si="1"/>
        <v>0</v>
      </c>
      <c r="U7" s="9">
        <f t="shared" si="1"/>
        <v>0</v>
      </c>
      <c r="V7" s="10">
        <v>0.0</v>
      </c>
      <c r="W7" s="10">
        <v>0.0</v>
      </c>
      <c r="X7" s="10">
        <v>0.0</v>
      </c>
      <c r="Y7" s="10"/>
      <c r="Z7" s="10"/>
      <c r="AA7" s="11"/>
      <c r="AB7" s="1"/>
      <c r="AC7" s="1" t="s">
        <v>10</v>
      </c>
      <c r="AD7" s="12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ht="14.25" customHeight="1">
      <c r="A8" s="1"/>
      <c r="B8" s="13" t="s">
        <v>11</v>
      </c>
      <c r="C8" s="1">
        <f>D7</f>
        <v>1</v>
      </c>
      <c r="D8" s="14">
        <f>D4*D5/G5</f>
        <v>450000</v>
      </c>
      <c r="E8" s="14">
        <v>0.0</v>
      </c>
      <c r="F8" s="14">
        <v>0.0</v>
      </c>
      <c r="G8" s="14">
        <f>-D8</f>
        <v>-450000</v>
      </c>
      <c r="H8" s="14">
        <v>0.0</v>
      </c>
      <c r="I8" s="14">
        <v>0.0</v>
      </c>
      <c r="J8" s="1"/>
      <c r="K8" s="1"/>
      <c r="L8" s="1"/>
      <c r="M8" s="1"/>
      <c r="N8" s="8"/>
      <c r="O8" s="1">
        <v>2.0</v>
      </c>
      <c r="P8" s="9">
        <f t="shared" ref="P8:U8" si="2">D25</f>
        <v>0</v>
      </c>
      <c r="Q8" s="9">
        <f t="shared" si="2"/>
        <v>1125</v>
      </c>
      <c r="R8" s="9">
        <f t="shared" si="2"/>
        <v>-4500</v>
      </c>
      <c r="S8" s="9">
        <f t="shared" si="2"/>
        <v>0</v>
      </c>
      <c r="T8" s="9">
        <f t="shared" si="2"/>
        <v>-1125</v>
      </c>
      <c r="U8" s="9">
        <f t="shared" si="2"/>
        <v>-4500</v>
      </c>
      <c r="V8" s="14">
        <v>0.0</v>
      </c>
      <c r="W8" s="14">
        <v>0.0</v>
      </c>
      <c r="X8" s="14">
        <v>0.0</v>
      </c>
      <c r="Y8" s="14"/>
      <c r="Z8" s="14"/>
      <c r="AA8" s="15"/>
      <c r="AB8" s="1"/>
      <c r="AC8" s="1" t="s">
        <v>12</v>
      </c>
      <c r="AD8" s="16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ht="14.25" customHeight="1">
      <c r="A9" s="1"/>
      <c r="C9" s="1">
        <f>E7</f>
        <v>2</v>
      </c>
      <c r="D9" s="17">
        <f>E8</f>
        <v>0</v>
      </c>
      <c r="E9" s="17">
        <f>12*D4*G4/G5^3</f>
        <v>1125</v>
      </c>
      <c r="F9" s="17">
        <f>-6*D4*G4/G5^2</f>
        <v>-4500</v>
      </c>
      <c r="G9" s="17">
        <v>0.0</v>
      </c>
      <c r="H9" s="17">
        <f>-E9</f>
        <v>-1125</v>
      </c>
      <c r="I9" s="17">
        <f>F9</f>
        <v>-4500</v>
      </c>
      <c r="J9" s="1"/>
      <c r="K9" s="1"/>
      <c r="L9" s="1"/>
      <c r="M9" s="1"/>
      <c r="N9" s="8"/>
      <c r="O9" s="1">
        <v>3.0</v>
      </c>
      <c r="P9" s="9">
        <f t="shared" ref="P9:U9" si="3">D26</f>
        <v>0</v>
      </c>
      <c r="Q9" s="9">
        <f t="shared" si="3"/>
        <v>-4500</v>
      </c>
      <c r="R9" s="9">
        <f t="shared" si="3"/>
        <v>24000</v>
      </c>
      <c r="S9" s="9">
        <f t="shared" si="3"/>
        <v>0</v>
      </c>
      <c r="T9" s="9">
        <f t="shared" si="3"/>
        <v>4500</v>
      </c>
      <c r="U9" s="9">
        <f t="shared" si="3"/>
        <v>12000</v>
      </c>
      <c r="V9" s="14">
        <v>0.0</v>
      </c>
      <c r="W9" s="14">
        <v>0.0</v>
      </c>
      <c r="X9" s="14">
        <v>0.0</v>
      </c>
      <c r="Y9" s="14"/>
      <c r="Z9" s="14"/>
      <c r="AA9" s="15"/>
      <c r="AB9" s="1"/>
      <c r="AC9" s="1" t="s">
        <v>13</v>
      </c>
      <c r="AD9" s="16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ht="14.25" customHeight="1">
      <c r="A10" s="1"/>
      <c r="C10" s="1">
        <f>F7</f>
        <v>3</v>
      </c>
      <c r="D10" s="14">
        <f>F8</f>
        <v>0</v>
      </c>
      <c r="E10" s="14">
        <f>F9</f>
        <v>-4500</v>
      </c>
      <c r="F10" s="14">
        <f>4*D4*G4/G5</f>
        <v>24000</v>
      </c>
      <c r="G10" s="14">
        <f>0</f>
        <v>0</v>
      </c>
      <c r="H10" s="14">
        <f>-F9</f>
        <v>4500</v>
      </c>
      <c r="I10" s="14">
        <f>F10/2</f>
        <v>12000</v>
      </c>
      <c r="J10" s="1"/>
      <c r="K10" s="1"/>
      <c r="L10" s="1"/>
      <c r="M10" s="1"/>
      <c r="N10" s="8"/>
      <c r="O10" s="1">
        <v>4.0</v>
      </c>
      <c r="P10" s="9">
        <f t="shared" ref="P10:R10" si="4">D27</f>
        <v>-450000</v>
      </c>
      <c r="Q10" s="9">
        <f t="shared" si="4"/>
        <v>0</v>
      </c>
      <c r="R10" s="9">
        <f t="shared" si="4"/>
        <v>0</v>
      </c>
      <c r="S10" s="9">
        <f t="shared" ref="S10:U10" si="5">G27+D56</f>
        <v>1575000</v>
      </c>
      <c r="T10" s="9">
        <f t="shared" si="5"/>
        <v>0</v>
      </c>
      <c r="U10" s="9">
        <f t="shared" si="5"/>
        <v>0</v>
      </c>
      <c r="V10" s="14">
        <f t="shared" ref="V10:X10" si="6">G56</f>
        <v>-1125000</v>
      </c>
      <c r="W10" s="14">
        <f t="shared" si="6"/>
        <v>0</v>
      </c>
      <c r="X10" s="14">
        <f t="shared" si="6"/>
        <v>0</v>
      </c>
      <c r="Y10" s="14"/>
      <c r="Z10" s="14"/>
      <c r="AA10" s="15"/>
      <c r="AB10" s="1"/>
      <c r="AC10" s="1" t="s">
        <v>14</v>
      </c>
      <c r="AD10" s="16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ht="14.25" customHeight="1">
      <c r="A11" s="1"/>
      <c r="C11" s="1">
        <f>G7</f>
        <v>4</v>
      </c>
      <c r="D11" s="17">
        <f>G8</f>
        <v>-450000</v>
      </c>
      <c r="E11" s="17">
        <f>G9</f>
        <v>0</v>
      </c>
      <c r="F11" s="17">
        <f>G10</f>
        <v>0</v>
      </c>
      <c r="G11" s="17">
        <f>D8</f>
        <v>450000</v>
      </c>
      <c r="H11" s="17">
        <v>0.0</v>
      </c>
      <c r="I11" s="17">
        <v>0.0</v>
      </c>
      <c r="J11" s="1"/>
      <c r="K11" s="1"/>
      <c r="L11" s="1"/>
      <c r="M11" s="1"/>
      <c r="N11" s="8"/>
      <c r="O11" s="1">
        <v>5.0</v>
      </c>
      <c r="P11" s="9">
        <f t="shared" ref="P11:R11" si="7">D28</f>
        <v>0</v>
      </c>
      <c r="Q11" s="9">
        <f t="shared" si="7"/>
        <v>-1125</v>
      </c>
      <c r="R11" s="9">
        <f t="shared" si="7"/>
        <v>4500</v>
      </c>
      <c r="S11" s="9">
        <f t="shared" ref="S11:U11" si="8">G28+D57</f>
        <v>0</v>
      </c>
      <c r="T11" s="9">
        <f t="shared" si="8"/>
        <v>18703.125</v>
      </c>
      <c r="U11" s="9">
        <f t="shared" si="8"/>
        <v>-30656.25</v>
      </c>
      <c r="V11" s="14">
        <f t="shared" ref="V11:X11" si="9">G57</f>
        <v>0</v>
      </c>
      <c r="W11" s="14">
        <f t="shared" si="9"/>
        <v>-17578.125</v>
      </c>
      <c r="X11" s="14">
        <f t="shared" si="9"/>
        <v>-35156.25</v>
      </c>
      <c r="Y11" s="14"/>
      <c r="Z11" s="14"/>
      <c r="AA11" s="15"/>
      <c r="AB11" s="1"/>
      <c r="AC11" s="1" t="s">
        <v>15</v>
      </c>
      <c r="AD11" s="16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ht="14.25" customHeight="1">
      <c r="A12" s="1"/>
      <c r="C12" s="1">
        <f>H7</f>
        <v>5</v>
      </c>
      <c r="D12" s="14">
        <f>H8</f>
        <v>0</v>
      </c>
      <c r="E12" s="14">
        <f>H9</f>
        <v>-1125</v>
      </c>
      <c r="F12" s="14">
        <f>H10</f>
        <v>4500</v>
      </c>
      <c r="G12" s="14">
        <f>H11</f>
        <v>0</v>
      </c>
      <c r="H12" s="14">
        <f>E9</f>
        <v>1125</v>
      </c>
      <c r="I12" s="14">
        <f>-F9</f>
        <v>4500</v>
      </c>
      <c r="J12" s="1"/>
      <c r="K12" s="1"/>
      <c r="L12" s="1"/>
      <c r="M12" s="1"/>
      <c r="N12" s="8"/>
      <c r="O12" s="1">
        <v>6.0</v>
      </c>
      <c r="P12" s="9">
        <f t="shared" ref="P12:R12" si="10">D29</f>
        <v>0</v>
      </c>
      <c r="Q12" s="9">
        <f t="shared" si="10"/>
        <v>-4500</v>
      </c>
      <c r="R12" s="9">
        <f t="shared" si="10"/>
        <v>12000</v>
      </c>
      <c r="S12" s="9">
        <f t="shared" ref="S12:U12" si="11">G29+D58</f>
        <v>0</v>
      </c>
      <c r="T12" s="9">
        <f t="shared" si="11"/>
        <v>-30656.25</v>
      </c>
      <c r="U12" s="9">
        <f t="shared" si="11"/>
        <v>117750</v>
      </c>
      <c r="V12" s="14">
        <f t="shared" ref="V12:X12" si="12">G58</f>
        <v>0</v>
      </c>
      <c r="W12" s="14">
        <f t="shared" si="12"/>
        <v>35156.25</v>
      </c>
      <c r="X12" s="14">
        <f t="shared" si="12"/>
        <v>46875</v>
      </c>
      <c r="Y12" s="14"/>
      <c r="Z12" s="14"/>
      <c r="AA12" s="15"/>
      <c r="AB12" s="1"/>
      <c r="AC12" s="1" t="s">
        <v>16</v>
      </c>
      <c r="AD12" s="16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ht="15.0" customHeight="1">
      <c r="A13" s="1"/>
      <c r="C13" s="1">
        <f>I7</f>
        <v>6</v>
      </c>
      <c r="D13" s="17">
        <f>I8</f>
        <v>0</v>
      </c>
      <c r="E13" s="17">
        <f>I9</f>
        <v>-4500</v>
      </c>
      <c r="F13" s="17">
        <f>I10</f>
        <v>12000</v>
      </c>
      <c r="G13" s="17">
        <f>I11</f>
        <v>0</v>
      </c>
      <c r="H13" s="17">
        <f>I12</f>
        <v>4500</v>
      </c>
      <c r="I13" s="17">
        <f>F10</f>
        <v>24000</v>
      </c>
      <c r="J13" s="1"/>
      <c r="K13" s="1"/>
      <c r="L13" s="1"/>
      <c r="M13" s="1"/>
      <c r="N13" s="8"/>
      <c r="O13" s="1">
        <v>7.0</v>
      </c>
      <c r="P13" s="18">
        <v>0.0</v>
      </c>
      <c r="Q13" s="14">
        <v>0.0</v>
      </c>
      <c r="R13" s="14">
        <v>0.0</v>
      </c>
      <c r="S13" s="14">
        <f t="shared" ref="S13:X13" si="13">D59</f>
        <v>-1125000</v>
      </c>
      <c r="T13" s="14">
        <f t="shared" si="13"/>
        <v>0</v>
      </c>
      <c r="U13" s="14">
        <f t="shared" si="13"/>
        <v>0</v>
      </c>
      <c r="V13" s="14">
        <f t="shared" si="13"/>
        <v>1125000</v>
      </c>
      <c r="W13" s="14">
        <f t="shared" si="13"/>
        <v>0</v>
      </c>
      <c r="X13" s="14">
        <f t="shared" si="13"/>
        <v>0</v>
      </c>
      <c r="Y13" s="14"/>
      <c r="Z13" s="14"/>
      <c r="AA13" s="15"/>
      <c r="AB13" s="1"/>
      <c r="AC13" s="1" t="s">
        <v>17</v>
      </c>
      <c r="AD13" s="16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ht="14.25" customHeight="1">
      <c r="A14" s="1"/>
      <c r="B14" s="8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1">
        <v>8.0</v>
      </c>
      <c r="P14" s="18">
        <v>0.0</v>
      </c>
      <c r="Q14" s="14">
        <v>0.0</v>
      </c>
      <c r="R14" s="14">
        <v>0.0</v>
      </c>
      <c r="S14" s="14">
        <f t="shared" ref="S14:X14" si="14">D60</f>
        <v>0</v>
      </c>
      <c r="T14" s="14">
        <f t="shared" si="14"/>
        <v>-17578.125</v>
      </c>
      <c r="U14" s="14">
        <f t="shared" si="14"/>
        <v>35156.25</v>
      </c>
      <c r="V14" s="14">
        <f t="shared" si="14"/>
        <v>0</v>
      </c>
      <c r="W14" s="14">
        <f t="shared" si="14"/>
        <v>17578.125</v>
      </c>
      <c r="X14" s="14">
        <f t="shared" si="14"/>
        <v>35156.25</v>
      </c>
      <c r="Y14" s="14"/>
      <c r="Z14" s="14"/>
      <c r="AA14" s="15"/>
      <c r="AB14" s="1"/>
      <c r="AC14" s="1" t="s">
        <v>18</v>
      </c>
      <c r="AD14" s="16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ht="14.25" customHeight="1">
      <c r="A15" s="1"/>
      <c r="B15" s="1"/>
      <c r="C15" s="1"/>
      <c r="D15" s="19">
        <f>D6*PI()/180</f>
        <v>0</v>
      </c>
      <c r="E15" s="1"/>
      <c r="F15" s="1"/>
      <c r="G15" s="1"/>
      <c r="H15" s="1"/>
      <c r="I15" s="1"/>
      <c r="J15" s="1"/>
      <c r="K15" s="1"/>
      <c r="L15" s="1"/>
      <c r="M15" s="1"/>
      <c r="N15" s="8"/>
      <c r="O15" s="1">
        <v>9.0</v>
      </c>
      <c r="P15" s="18">
        <v>0.0</v>
      </c>
      <c r="Q15" s="14">
        <v>0.0</v>
      </c>
      <c r="R15" s="14">
        <v>0.0</v>
      </c>
      <c r="S15" s="14">
        <f t="shared" ref="S15:X15" si="15">D61</f>
        <v>0</v>
      </c>
      <c r="T15" s="14">
        <f t="shared" si="15"/>
        <v>-35156.25</v>
      </c>
      <c r="U15" s="14">
        <f t="shared" si="15"/>
        <v>46875</v>
      </c>
      <c r="V15" s="14">
        <f t="shared" si="15"/>
        <v>0</v>
      </c>
      <c r="W15" s="14">
        <f t="shared" si="15"/>
        <v>35156.25</v>
      </c>
      <c r="X15" s="14">
        <f t="shared" si="15"/>
        <v>93750</v>
      </c>
      <c r="Y15" s="14"/>
      <c r="Z15" s="14"/>
      <c r="AA15" s="15"/>
      <c r="AB15" s="1"/>
      <c r="AC15" s="1" t="s">
        <v>19</v>
      </c>
      <c r="AD15" s="16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ht="14.25" customHeight="1">
      <c r="A16" s="1"/>
      <c r="B16" s="13" t="s">
        <v>20</v>
      </c>
      <c r="C16" s="1"/>
      <c r="D16" s="14">
        <f>COS(D15)</f>
        <v>1</v>
      </c>
      <c r="E16" s="14">
        <f>SIN(D15)</f>
        <v>0</v>
      </c>
      <c r="F16" s="14">
        <v>0.0</v>
      </c>
      <c r="G16" s="14">
        <v>0.0</v>
      </c>
      <c r="H16" s="14">
        <v>0.0</v>
      </c>
      <c r="I16" s="14">
        <v>0.0</v>
      </c>
      <c r="J16" s="1"/>
      <c r="K16" s="1"/>
      <c r="L16" s="1"/>
      <c r="M16" s="1"/>
      <c r="N16" s="8"/>
      <c r="O16" s="1">
        <v>10.0</v>
      </c>
      <c r="P16" s="18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5"/>
      <c r="AB16" s="1"/>
      <c r="AC16" s="1" t="s">
        <v>21</v>
      </c>
      <c r="AD16" s="16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ht="14.25" customHeight="1">
      <c r="A17" s="1"/>
      <c r="C17" s="1"/>
      <c r="D17" s="17">
        <f>-E16</f>
        <v>0</v>
      </c>
      <c r="E17" s="17">
        <f>D16</f>
        <v>1</v>
      </c>
      <c r="F17" s="17">
        <v>0.0</v>
      </c>
      <c r="G17" s="17">
        <v>0.0</v>
      </c>
      <c r="H17" s="17">
        <v>0.0</v>
      </c>
      <c r="I17" s="17">
        <v>0.0</v>
      </c>
      <c r="J17" s="1"/>
      <c r="K17" s="1"/>
      <c r="L17" s="1"/>
      <c r="M17" s="1"/>
      <c r="N17" s="8"/>
      <c r="O17" s="1">
        <v>11.0</v>
      </c>
      <c r="P17" s="18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  <c r="AB17" s="1"/>
      <c r="AC17" s="1" t="s">
        <v>22</v>
      </c>
      <c r="AD17" s="16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ht="14.25" customHeight="1">
      <c r="A18" s="1"/>
      <c r="C18" s="1"/>
      <c r="D18" s="14">
        <v>0.0</v>
      </c>
      <c r="E18" s="14">
        <v>0.0</v>
      </c>
      <c r="F18" s="14">
        <v>1.0</v>
      </c>
      <c r="G18" s="14">
        <v>0.0</v>
      </c>
      <c r="H18" s="14">
        <v>0.0</v>
      </c>
      <c r="I18" s="14">
        <v>0.0</v>
      </c>
      <c r="J18" s="1"/>
      <c r="K18" s="1"/>
      <c r="L18" s="1"/>
      <c r="M18" s="1"/>
      <c r="N18" s="8"/>
      <c r="O18" s="1">
        <v>12.0</v>
      </c>
      <c r="P18" s="20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2"/>
      <c r="AB18" s="1"/>
      <c r="AC18" s="1" t="s">
        <v>23</v>
      </c>
      <c r="AD18" s="23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ht="14.25" customHeight="1">
      <c r="A19" s="1"/>
      <c r="C19" s="1"/>
      <c r="D19" s="17">
        <v>0.0</v>
      </c>
      <c r="E19" s="17">
        <v>0.0</v>
      </c>
      <c r="F19" s="17">
        <v>0.0</v>
      </c>
      <c r="G19" s="17">
        <f t="shared" ref="G19:I19" si="16">D16</f>
        <v>1</v>
      </c>
      <c r="H19" s="17">
        <f t="shared" si="16"/>
        <v>0</v>
      </c>
      <c r="I19" s="17">
        <f t="shared" si="16"/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ht="14.25" customHeight="1">
      <c r="A20" s="1"/>
      <c r="C20" s="1"/>
      <c r="D20" s="14">
        <v>0.0</v>
      </c>
      <c r="E20" s="14">
        <v>0.0</v>
      </c>
      <c r="F20" s="14">
        <v>0.0</v>
      </c>
      <c r="G20" s="14">
        <f t="shared" ref="G20:I20" si="17">D17</f>
        <v>0</v>
      </c>
      <c r="H20" s="14">
        <f t="shared" si="17"/>
        <v>1</v>
      </c>
      <c r="I20" s="14">
        <f t="shared" si="17"/>
        <v>0</v>
      </c>
      <c r="J20" s="1"/>
      <c r="K20" s="1"/>
      <c r="L20" s="1"/>
      <c r="M20" s="1"/>
      <c r="N20" s="1"/>
      <c r="O20" s="1"/>
      <c r="P20" s="24" t="s">
        <v>24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ht="14.25" customHeight="1">
      <c r="A21" s="1"/>
      <c r="C21" s="1"/>
      <c r="D21" s="17">
        <v>0.0</v>
      </c>
      <c r="E21" s="17">
        <v>0.0</v>
      </c>
      <c r="F21" s="17">
        <v>0.0</v>
      </c>
      <c r="G21" s="17">
        <f t="shared" ref="G21:I21" si="18">D18</f>
        <v>0</v>
      </c>
      <c r="H21" s="17">
        <f t="shared" si="18"/>
        <v>0</v>
      </c>
      <c r="I21" s="17">
        <f t="shared" si="18"/>
        <v>1</v>
      </c>
      <c r="J21" s="1"/>
      <c r="K21" s="1"/>
      <c r="L21" s="1"/>
      <c r="M21" s="1"/>
      <c r="N21" s="1"/>
      <c r="O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 t="s">
        <v>25</v>
      </c>
      <c r="Q22" s="25">
        <v>0.0</v>
      </c>
      <c r="R22" s="1"/>
      <c r="S22" s="26">
        <f t="shared" ref="S22:U22" si="19">S10</f>
        <v>1575000</v>
      </c>
      <c r="T22" s="26">
        <f t="shared" si="19"/>
        <v>0</v>
      </c>
      <c r="U22" s="26">
        <f t="shared" si="19"/>
        <v>0</v>
      </c>
      <c r="V22" s="1"/>
      <c r="W22" s="1" t="s">
        <v>2</v>
      </c>
      <c r="X22" s="27">
        <f t="array" ref="X22:X24">MMULT(MINVERSE(S22:U24),Q22:Q24)</f>
        <v>0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ht="14.25" customHeight="1">
      <c r="A23" s="1"/>
      <c r="B23" s="1"/>
      <c r="C23" s="1"/>
      <c r="D23" s="1">
        <f t="shared" ref="D23:I23" si="20">D7</f>
        <v>1</v>
      </c>
      <c r="E23" s="1">
        <f t="shared" si="20"/>
        <v>2</v>
      </c>
      <c r="F23" s="1">
        <f t="shared" si="20"/>
        <v>3</v>
      </c>
      <c r="G23" s="1">
        <f t="shared" si="20"/>
        <v>4</v>
      </c>
      <c r="H23" s="1">
        <f t="shared" si="20"/>
        <v>5</v>
      </c>
      <c r="I23" s="1">
        <f t="shared" si="20"/>
        <v>6</v>
      </c>
      <c r="J23" s="1"/>
      <c r="K23" s="1"/>
      <c r="L23" s="1"/>
      <c r="M23" s="1"/>
      <c r="N23" s="1"/>
      <c r="O23" s="1"/>
      <c r="P23" s="1" t="s">
        <v>25</v>
      </c>
      <c r="Q23" s="25">
        <v>-20.0</v>
      </c>
      <c r="R23" s="1"/>
      <c r="S23" s="26">
        <f t="shared" ref="S23:U23" si="21">S11</f>
        <v>0</v>
      </c>
      <c r="T23" s="26">
        <f t="shared" si="21"/>
        <v>18703.125</v>
      </c>
      <c r="U23" s="26">
        <f t="shared" si="21"/>
        <v>-30656.25</v>
      </c>
      <c r="V23" s="1"/>
      <c r="W23" s="1" t="s">
        <v>2</v>
      </c>
      <c r="X23" s="28">
        <v>-0.008826407319999355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ht="14.25" customHeight="1">
      <c r="A24" s="1"/>
      <c r="B24" s="13" t="s">
        <v>26</v>
      </c>
      <c r="C24" s="1">
        <f t="shared" ref="C24:C29" si="23">C8</f>
        <v>1</v>
      </c>
      <c r="D24" s="29">
        <f t="array" ref="D24:I29">MMULT(MMULT(TRANSPOSE(D16:I21),D8:I13),D16:I21)</f>
        <v>450000</v>
      </c>
      <c r="E24" s="30">
        <v>0.0</v>
      </c>
      <c r="F24" s="30">
        <v>0.0</v>
      </c>
      <c r="G24" s="30">
        <v>-450000.0</v>
      </c>
      <c r="H24" s="31">
        <v>0.0</v>
      </c>
      <c r="I24" s="32">
        <v>0.0</v>
      </c>
      <c r="J24" s="1"/>
      <c r="K24" s="1"/>
      <c r="L24" s="1"/>
      <c r="M24" s="1"/>
      <c r="N24" s="1"/>
      <c r="O24" s="1"/>
      <c r="P24" s="1" t="s">
        <v>25</v>
      </c>
      <c r="Q24" s="25">
        <v>-286.67</v>
      </c>
      <c r="R24" s="1"/>
      <c r="S24" s="26">
        <f t="shared" ref="S24:U24" si="22">S12</f>
        <v>0</v>
      </c>
      <c r="T24" s="26">
        <f t="shared" si="22"/>
        <v>-30656.25</v>
      </c>
      <c r="U24" s="26">
        <f t="shared" si="22"/>
        <v>117750</v>
      </c>
      <c r="V24" s="1"/>
      <c r="W24" s="1" t="s">
        <v>2</v>
      </c>
      <c r="X24" s="33">
        <v>-0.0047325227125582185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ht="14.25" customHeight="1">
      <c r="A25" s="1"/>
      <c r="C25" s="1">
        <f t="shared" si="23"/>
        <v>2</v>
      </c>
      <c r="D25" s="34">
        <v>0.0</v>
      </c>
      <c r="E25" s="17">
        <v>1125.0000000000005</v>
      </c>
      <c r="F25" s="17">
        <v>-4500.000000000002</v>
      </c>
      <c r="G25" s="17">
        <v>0.0</v>
      </c>
      <c r="H25" s="35">
        <v>-1125.0000000000005</v>
      </c>
      <c r="I25" s="36">
        <v>-4500.000000000002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ht="14.25" customHeight="1">
      <c r="A26" s="1"/>
      <c r="C26" s="1">
        <f t="shared" si="23"/>
        <v>3</v>
      </c>
      <c r="D26" s="37">
        <v>0.0</v>
      </c>
      <c r="E26" s="38">
        <v>-4500.000000000002</v>
      </c>
      <c r="F26" s="38">
        <v>24000.000000000007</v>
      </c>
      <c r="G26" s="38">
        <v>0.0</v>
      </c>
      <c r="H26" s="39">
        <v>4500.000000000002</v>
      </c>
      <c r="I26" s="40">
        <v>12000.000000000004</v>
      </c>
      <c r="J26" s="1"/>
      <c r="K26" s="1"/>
      <c r="L26" s="1"/>
      <c r="M26" s="1"/>
      <c r="N26" s="1"/>
      <c r="O26" s="1"/>
      <c r="P26" s="41" t="s">
        <v>27</v>
      </c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3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ht="14.25" customHeight="1">
      <c r="A27" s="1"/>
      <c r="C27" s="1">
        <f t="shared" si="23"/>
        <v>4</v>
      </c>
      <c r="D27" s="34">
        <v>-450000.0</v>
      </c>
      <c r="E27" s="17">
        <v>0.0</v>
      </c>
      <c r="F27" s="17">
        <v>0.0</v>
      </c>
      <c r="G27" s="17">
        <v>450000.0</v>
      </c>
      <c r="H27" s="35">
        <v>0.0</v>
      </c>
      <c r="I27" s="36">
        <v>0.0</v>
      </c>
      <c r="J27" s="1"/>
      <c r="K27" s="1"/>
      <c r="L27" s="1"/>
      <c r="M27" s="1"/>
      <c r="N27" s="1"/>
      <c r="O27" s="1"/>
      <c r="P27" s="44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6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ht="14.25" customHeight="1">
      <c r="A28" s="1"/>
      <c r="C28" s="1">
        <f t="shared" si="23"/>
        <v>5</v>
      </c>
      <c r="D28" s="37">
        <v>0.0</v>
      </c>
      <c r="E28" s="38">
        <v>-1125.0000000000005</v>
      </c>
      <c r="F28" s="38">
        <v>4500.000000000002</v>
      </c>
      <c r="G28" s="38">
        <v>0.0</v>
      </c>
      <c r="H28" s="39">
        <v>1125.0000000000005</v>
      </c>
      <c r="I28" s="40">
        <v>4500.000000000002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ht="15.0" customHeight="1">
      <c r="A29" s="1"/>
      <c r="C29" s="1">
        <f t="shared" si="23"/>
        <v>6</v>
      </c>
      <c r="D29" s="47">
        <v>0.0</v>
      </c>
      <c r="E29" s="48">
        <v>-4500.000000000002</v>
      </c>
      <c r="F29" s="48">
        <v>12000.000000000004</v>
      </c>
      <c r="G29" s="48">
        <v>0.0</v>
      </c>
      <c r="H29" s="49">
        <v>4500.000000000002</v>
      </c>
      <c r="I29" s="50">
        <v>24000.000000000007</v>
      </c>
      <c r="J29" s="1"/>
      <c r="K29" s="1"/>
      <c r="L29" s="1"/>
      <c r="M29" s="1"/>
      <c r="N29" s="1"/>
      <c r="O29" s="1"/>
      <c r="P29" s="2" t="s">
        <v>0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1"/>
      <c r="AA31" s="1" t="s">
        <v>28</v>
      </c>
      <c r="AB31" s="1" t="s">
        <v>29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8"/>
      <c r="M32" s="1"/>
      <c r="N32" s="51"/>
      <c r="O32" s="51"/>
      <c r="P32" s="52" t="s">
        <v>30</v>
      </c>
      <c r="Q32" s="51" t="s">
        <v>10</v>
      </c>
      <c r="R32" s="12">
        <v>0.0</v>
      </c>
      <c r="S32" s="51"/>
      <c r="T32" s="52" t="s">
        <v>31</v>
      </c>
      <c r="U32" s="14">
        <f t="array" ref="U32:U37">MMULT(MMULT(D16:I21,D24:I29),R32:R37)</f>
        <v>0</v>
      </c>
      <c r="V32" s="1"/>
      <c r="W32" s="52" t="s">
        <v>32</v>
      </c>
      <c r="X32" s="12">
        <v>0.0</v>
      </c>
      <c r="Y32" s="51"/>
      <c r="Z32" s="52" t="s">
        <v>33</v>
      </c>
      <c r="AA32" s="14">
        <f t="shared" ref="AA32:AA37" si="24">X32+U32</f>
        <v>0</v>
      </c>
      <c r="AB32" s="53">
        <f>-AA32</f>
        <v>0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ht="14.25" customHeight="1">
      <c r="A33" s="1"/>
      <c r="B33" s="2" t="s">
        <v>34</v>
      </c>
      <c r="J33" s="1"/>
      <c r="K33" s="1"/>
      <c r="L33" s="8"/>
      <c r="M33" s="1"/>
      <c r="N33" s="51"/>
      <c r="O33" s="51"/>
      <c r="Q33" s="51" t="s">
        <v>35</v>
      </c>
      <c r="R33" s="16">
        <v>0.0</v>
      </c>
      <c r="S33" s="51"/>
      <c r="U33" s="17">
        <v>31.22606044151127</v>
      </c>
      <c r="V33" s="1"/>
      <c r="X33" s="16">
        <v>0.0</v>
      </c>
      <c r="Y33" s="51"/>
      <c r="AA33" s="14">
        <f t="shared" si="24"/>
        <v>31.22606044</v>
      </c>
      <c r="AB33" s="53">
        <f t="shared" ref="AB33:AB35" si="25">AA33</f>
        <v>31.22606044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ht="14.25" customHeight="1">
      <c r="A34" s="1"/>
      <c r="J34" s="1"/>
      <c r="K34" s="1"/>
      <c r="L34" s="8"/>
      <c r="M34" s="1"/>
      <c r="N34" s="51"/>
      <c r="O34" s="51"/>
      <c r="Q34" s="51" t="s">
        <v>36</v>
      </c>
      <c r="R34" s="16">
        <v>0.0</v>
      </c>
      <c r="S34" s="51"/>
      <c r="U34" s="14">
        <v>-96.50910549069576</v>
      </c>
      <c r="V34" s="1"/>
      <c r="X34" s="16">
        <v>-300.0</v>
      </c>
      <c r="Y34" s="51"/>
      <c r="AA34" s="14">
        <f t="shared" si="24"/>
        <v>-396.5091055</v>
      </c>
      <c r="AB34" s="53">
        <f t="shared" si="25"/>
        <v>-396.5091055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8"/>
      <c r="M35" s="1"/>
      <c r="N35" s="51"/>
      <c r="O35" s="51"/>
      <c r="Q35" s="51" t="s">
        <v>12</v>
      </c>
      <c r="R35" s="16">
        <f t="shared" ref="R35:R37" si="26">X22</f>
        <v>0</v>
      </c>
      <c r="S35" s="51"/>
      <c r="U35" s="17">
        <v>0.0</v>
      </c>
      <c r="V35" s="1"/>
      <c r="X35" s="16">
        <v>0.0</v>
      </c>
      <c r="Y35" s="51"/>
      <c r="AA35" s="14">
        <f t="shared" si="24"/>
        <v>0</v>
      </c>
      <c r="AB35" s="53">
        <f t="shared" si="25"/>
        <v>0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ht="14.25" customHeight="1">
      <c r="A36" s="1"/>
      <c r="B36" s="5" t="s">
        <v>37</v>
      </c>
      <c r="D36" s="6">
        <f>D4</f>
        <v>30000000</v>
      </c>
      <c r="E36" s="1"/>
      <c r="F36" s="1" t="s">
        <v>4</v>
      </c>
      <c r="G36" s="6">
        <f>0.3*0.5^3/12</f>
        <v>0.003125</v>
      </c>
      <c r="H36" s="1" t="s">
        <v>5</v>
      </c>
      <c r="I36" s="1"/>
      <c r="J36" s="1"/>
      <c r="K36" s="1"/>
      <c r="L36" s="8"/>
      <c r="M36" s="1"/>
      <c r="N36" s="51"/>
      <c r="O36" s="51"/>
      <c r="Q36" s="51" t="s">
        <v>38</v>
      </c>
      <c r="R36" s="16">
        <f t="shared" si="26"/>
        <v>-0.00882640732</v>
      </c>
      <c r="S36" s="51"/>
      <c r="U36" s="14">
        <v>-31.22606044151127</v>
      </c>
      <c r="V36" s="1"/>
      <c r="X36" s="16">
        <v>0.0</v>
      </c>
      <c r="Y36" s="51"/>
      <c r="AA36" s="14">
        <f t="shared" si="24"/>
        <v>-31.22606044</v>
      </c>
      <c r="AB36" s="53">
        <f t="shared" ref="AB36:AB37" si="27">-AA36</f>
        <v>31.22606044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ht="14.25" customHeight="1">
      <c r="A37" s="1"/>
      <c r="B37" s="5" t="s">
        <v>6</v>
      </c>
      <c r="D37" s="6">
        <f>0.3*0.5</f>
        <v>0.15</v>
      </c>
      <c r="E37" s="1"/>
      <c r="F37" s="1" t="s">
        <v>7</v>
      </c>
      <c r="G37" s="6">
        <v>4.0</v>
      </c>
      <c r="H37" s="1" t="s">
        <v>8</v>
      </c>
      <c r="I37" s="1"/>
      <c r="J37" s="1"/>
      <c r="K37" s="1"/>
      <c r="L37" s="8"/>
      <c r="M37" s="1"/>
      <c r="N37" s="51"/>
      <c r="O37" s="51"/>
      <c r="Q37" s="51" t="s">
        <v>39</v>
      </c>
      <c r="R37" s="16">
        <f t="shared" si="26"/>
        <v>-0.004732522713</v>
      </c>
      <c r="S37" s="51"/>
      <c r="U37" s="17">
        <v>-153.2993780413944</v>
      </c>
      <c r="V37" s="1"/>
      <c r="X37" s="16">
        <v>300.0</v>
      </c>
      <c r="Y37" s="51"/>
      <c r="AA37" s="14">
        <f t="shared" si="24"/>
        <v>146.700622</v>
      </c>
      <c r="AB37" s="53">
        <f t="shared" si="27"/>
        <v>-146.700622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ht="14.25" customHeight="1">
      <c r="A38" s="1"/>
      <c r="B38" s="5" t="s">
        <v>40</v>
      </c>
      <c r="D38" s="6">
        <v>0.0</v>
      </c>
      <c r="E38" s="1"/>
      <c r="F38" s="1"/>
      <c r="G38" s="1"/>
      <c r="H38" s="1"/>
      <c r="I38" s="1"/>
      <c r="J38" s="1"/>
      <c r="K38" s="1"/>
      <c r="L38" s="8"/>
      <c r="M38" s="1"/>
      <c r="N38" s="51"/>
      <c r="O38" s="5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ht="14.25" customHeight="1">
      <c r="A39" s="1"/>
      <c r="B39" s="1"/>
      <c r="C39" s="1"/>
      <c r="D39" s="7">
        <v>4.0</v>
      </c>
      <c r="E39" s="7">
        <v>5.0</v>
      </c>
      <c r="F39" s="7">
        <v>6.0</v>
      </c>
      <c r="G39" s="7">
        <v>7.0</v>
      </c>
      <c r="H39" s="7">
        <v>8.0</v>
      </c>
      <c r="I39" s="7">
        <v>9.0</v>
      </c>
      <c r="J39" s="1"/>
      <c r="K39" s="1"/>
      <c r="L39" s="8"/>
      <c r="M39" s="1"/>
      <c r="N39" s="51"/>
      <c r="O39" s="5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ht="14.25" customHeight="1">
      <c r="A40" s="1"/>
      <c r="B40" s="13" t="s">
        <v>41</v>
      </c>
      <c r="C40" s="1">
        <f>D39</f>
        <v>4</v>
      </c>
      <c r="D40" s="14">
        <f>D36*D37/G37</f>
        <v>1125000</v>
      </c>
      <c r="E40" s="14">
        <v>0.0</v>
      </c>
      <c r="F40" s="14">
        <v>0.0</v>
      </c>
      <c r="G40" s="14">
        <f>-D40</f>
        <v>-1125000</v>
      </c>
      <c r="H40" s="14">
        <v>0.0</v>
      </c>
      <c r="I40" s="14">
        <v>0.0</v>
      </c>
      <c r="J40" s="1"/>
      <c r="K40" s="1"/>
      <c r="L40" s="8"/>
      <c r="M40" s="1"/>
      <c r="N40" s="51"/>
      <c r="O40" s="51"/>
      <c r="P40" s="2" t="s">
        <v>34</v>
      </c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ht="14.25" customHeight="1">
      <c r="A41" s="1"/>
      <c r="C41" s="1">
        <f>E39</f>
        <v>5</v>
      </c>
      <c r="D41" s="17">
        <f>E40</f>
        <v>0</v>
      </c>
      <c r="E41" s="17">
        <f>12*D36*G36/G37^3</f>
        <v>17578.125</v>
      </c>
      <c r="F41" s="17">
        <f>-6*D36*G36/G37^2</f>
        <v>-35156.25</v>
      </c>
      <c r="G41" s="17">
        <v>0.0</v>
      </c>
      <c r="H41" s="17">
        <f>-E41</f>
        <v>-17578.125</v>
      </c>
      <c r="I41" s="17">
        <f>F41</f>
        <v>-35156.25</v>
      </c>
      <c r="J41" s="1"/>
      <c r="K41" s="1"/>
      <c r="L41" s="8"/>
      <c r="M41" s="1"/>
      <c r="N41" s="51"/>
      <c r="O41" s="5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ht="14.25" customHeight="1">
      <c r="A42" s="1"/>
      <c r="C42" s="1">
        <f>F39</f>
        <v>6</v>
      </c>
      <c r="D42" s="14">
        <f>F40</f>
        <v>0</v>
      </c>
      <c r="E42" s="14">
        <f>F41</f>
        <v>-35156.25</v>
      </c>
      <c r="F42" s="14">
        <f>4*D36*G36/G37</f>
        <v>93750</v>
      </c>
      <c r="G42" s="14">
        <f>0</f>
        <v>0</v>
      </c>
      <c r="H42" s="14">
        <f>-F41</f>
        <v>35156.25</v>
      </c>
      <c r="I42" s="14">
        <f>F42/2</f>
        <v>46875</v>
      </c>
      <c r="J42" s="1"/>
      <c r="K42" s="1"/>
      <c r="L42" s="1"/>
      <c r="M42" s="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1"/>
      <c r="AA42" s="1" t="s">
        <v>28</v>
      </c>
      <c r="AB42" s="1" t="s">
        <v>29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ht="14.25" customHeight="1">
      <c r="A43" s="1"/>
      <c r="C43" s="1">
        <f>G39</f>
        <v>7</v>
      </c>
      <c r="D43" s="17">
        <f>G40</f>
        <v>-1125000</v>
      </c>
      <c r="E43" s="17">
        <f>G41</f>
        <v>0</v>
      </c>
      <c r="F43" s="17">
        <f>G42</f>
        <v>0</v>
      </c>
      <c r="G43" s="17">
        <f>D40</f>
        <v>1125000</v>
      </c>
      <c r="H43" s="17">
        <v>0.0</v>
      </c>
      <c r="I43" s="17">
        <v>0.0</v>
      </c>
      <c r="J43" s="1"/>
      <c r="K43" s="1"/>
      <c r="L43" s="1"/>
      <c r="M43" s="1"/>
      <c r="N43" s="51"/>
      <c r="O43" s="51"/>
      <c r="P43" s="52" t="s">
        <v>30</v>
      </c>
      <c r="Q43" s="51" t="s">
        <v>10</v>
      </c>
      <c r="R43" s="12">
        <f t="shared" ref="R43:R45" si="28">R35</f>
        <v>0</v>
      </c>
      <c r="S43" s="51"/>
      <c r="T43" s="52" t="s">
        <v>42</v>
      </c>
      <c r="U43" s="14">
        <f t="array" ref="U43:U48">MMULT(MMULT(D40:I45,D48:I53),R43:R48)</f>
        <v>0</v>
      </c>
      <c r="V43" s="1"/>
      <c r="W43" s="52" t="s">
        <v>32</v>
      </c>
      <c r="X43" s="12">
        <v>0.0</v>
      </c>
      <c r="Y43" s="51"/>
      <c r="Z43" s="52" t="s">
        <v>43</v>
      </c>
      <c r="AA43" s="14">
        <f t="shared" ref="AA43:AA48" si="29">X43+U43</f>
        <v>0</v>
      </c>
      <c r="AB43" s="53">
        <f>-AA43</f>
        <v>0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ht="14.25" customHeight="1">
      <c r="A44" s="1"/>
      <c r="C44" s="1">
        <f>H39</f>
        <v>8</v>
      </c>
      <c r="D44" s="14">
        <f>H40</f>
        <v>0</v>
      </c>
      <c r="E44" s="14">
        <f>H41</f>
        <v>-17578.125</v>
      </c>
      <c r="F44" s="14">
        <f>H42</f>
        <v>35156.25</v>
      </c>
      <c r="G44" s="14">
        <f>H43</f>
        <v>0</v>
      </c>
      <c r="H44" s="14">
        <f>E41</f>
        <v>17578.125</v>
      </c>
      <c r="I44" s="14">
        <f>-F41</f>
        <v>35156.25</v>
      </c>
      <c r="J44" s="1"/>
      <c r="K44" s="1"/>
      <c r="L44" s="1"/>
      <c r="M44" s="1"/>
      <c r="N44" s="1"/>
      <c r="O44" s="1"/>
      <c r="Q44" s="51" t="s">
        <v>35</v>
      </c>
      <c r="R44" s="12">
        <f t="shared" si="28"/>
        <v>-0.00882640732</v>
      </c>
      <c r="S44" s="51"/>
      <c r="U44" s="17">
        <v>11.226060441511208</v>
      </c>
      <c r="V44" s="1"/>
      <c r="X44" s="16">
        <v>20.0</v>
      </c>
      <c r="Y44" s="51"/>
      <c r="AA44" s="14">
        <f t="shared" si="29"/>
        <v>31.22606044</v>
      </c>
      <c r="AB44" s="53">
        <f t="shared" ref="AB44:AB46" si="30">AA44</f>
        <v>31.22606044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ht="14.25" customHeight="1">
      <c r="A45" s="1"/>
      <c r="C45" s="1">
        <f>I39</f>
        <v>9</v>
      </c>
      <c r="D45" s="17">
        <f>I40</f>
        <v>0</v>
      </c>
      <c r="E45" s="17">
        <f>I41</f>
        <v>-35156.25</v>
      </c>
      <c r="F45" s="17">
        <f>I42</f>
        <v>46875</v>
      </c>
      <c r="G45" s="17">
        <f>I43</f>
        <v>0</v>
      </c>
      <c r="H45" s="17">
        <f>I44</f>
        <v>35156.25</v>
      </c>
      <c r="I45" s="17">
        <f>F42</f>
        <v>93750</v>
      </c>
      <c r="J45" s="1"/>
      <c r="K45" s="1"/>
      <c r="L45" s="1"/>
      <c r="M45" s="1"/>
      <c r="N45" s="1"/>
      <c r="O45" s="1"/>
      <c r="Q45" s="51" t="s">
        <v>36</v>
      </c>
      <c r="R45" s="12">
        <f t="shared" si="28"/>
        <v>-0.004732522713</v>
      </c>
      <c r="S45" s="51"/>
      <c r="U45" s="14">
        <v>-133.37062195860557</v>
      </c>
      <c r="V45" s="1"/>
      <c r="X45" s="16">
        <v>-13.33</v>
      </c>
      <c r="Y45" s="51"/>
      <c r="AA45" s="14">
        <f t="shared" si="29"/>
        <v>-146.700622</v>
      </c>
      <c r="AB45" s="53">
        <f t="shared" si="30"/>
        <v>-146.700622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ht="14.25" customHeight="1">
      <c r="A46" s="1"/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Q46" s="51" t="s">
        <v>12</v>
      </c>
      <c r="R46" s="16">
        <v>0.0</v>
      </c>
      <c r="S46" s="51"/>
      <c r="U46" s="17">
        <v>0.0</v>
      </c>
      <c r="V46" s="1"/>
      <c r="X46" s="16">
        <v>0.0</v>
      </c>
      <c r="Y46" s="51"/>
      <c r="AA46" s="14">
        <f t="shared" si="29"/>
        <v>0</v>
      </c>
      <c r="AB46" s="53">
        <f t="shared" si="30"/>
        <v>0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ht="14.25" customHeight="1">
      <c r="A47" s="1"/>
      <c r="B47" s="1"/>
      <c r="C47" s="1"/>
      <c r="D47" s="19">
        <f>D38*PI()/180</f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Q47" s="51" t="s">
        <v>38</v>
      </c>
      <c r="R47" s="16">
        <v>0.0</v>
      </c>
      <c r="S47" s="51"/>
      <c r="U47" s="14">
        <v>-11.226060441511208</v>
      </c>
      <c r="V47" s="1"/>
      <c r="X47" s="16">
        <v>20.0</v>
      </c>
      <c r="Y47" s="51"/>
      <c r="AA47" s="14">
        <f t="shared" si="29"/>
        <v>8.773939558</v>
      </c>
      <c r="AB47" s="53">
        <f t="shared" ref="AB47:AB48" si="31">-AA47</f>
        <v>-8.773939558</v>
      </c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ht="14.25" customHeight="1">
      <c r="A48" s="1"/>
      <c r="B48" s="13" t="s">
        <v>44</v>
      </c>
      <c r="C48" s="1"/>
      <c r="D48" s="14">
        <f>COS(D47)</f>
        <v>1</v>
      </c>
      <c r="E48" s="14">
        <f>SIN(D47)</f>
        <v>0</v>
      </c>
      <c r="F48" s="14">
        <v>0.0</v>
      </c>
      <c r="G48" s="14">
        <v>0.0</v>
      </c>
      <c r="H48" s="14">
        <v>0.0</v>
      </c>
      <c r="I48" s="14">
        <v>0.0</v>
      </c>
      <c r="J48" s="1"/>
      <c r="K48" s="1"/>
      <c r="L48" s="1"/>
      <c r="M48" s="1"/>
      <c r="N48" s="1"/>
      <c r="O48" s="1"/>
      <c r="Q48" s="51" t="s">
        <v>39</v>
      </c>
      <c r="R48" s="16">
        <v>0.0</v>
      </c>
      <c r="S48" s="51"/>
      <c r="U48" s="17">
        <v>88.46638019256088</v>
      </c>
      <c r="V48" s="1"/>
      <c r="X48" s="16">
        <v>13.33</v>
      </c>
      <c r="Y48" s="51"/>
      <c r="AA48" s="14">
        <f t="shared" si="29"/>
        <v>101.7963802</v>
      </c>
      <c r="AB48" s="53">
        <f t="shared" si="31"/>
        <v>-101.7963802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ht="14.25" customHeight="1">
      <c r="A49" s="1"/>
      <c r="C49" s="1"/>
      <c r="D49" s="17">
        <f>-E48</f>
        <v>0</v>
      </c>
      <c r="E49" s="17">
        <f>D48</f>
        <v>1</v>
      </c>
      <c r="F49" s="17">
        <v>0.0</v>
      </c>
      <c r="G49" s="17">
        <v>0.0</v>
      </c>
      <c r="H49" s="17">
        <v>0.0</v>
      </c>
      <c r="I49" s="17">
        <v>0.0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ht="14.25" customHeight="1">
      <c r="A50" s="1"/>
      <c r="C50" s="1"/>
      <c r="D50" s="14">
        <v>0.0</v>
      </c>
      <c r="E50" s="14">
        <v>0.0</v>
      </c>
      <c r="F50" s="14">
        <v>1.0</v>
      </c>
      <c r="G50" s="14">
        <v>0.0</v>
      </c>
      <c r="H50" s="14">
        <v>0.0</v>
      </c>
      <c r="I50" s="14">
        <v>0.0</v>
      </c>
      <c r="J50" s="1"/>
      <c r="K50" s="1"/>
      <c r="L50" s="8"/>
      <c r="M50" s="1"/>
      <c r="N50" s="51"/>
      <c r="O50" s="5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ht="14.25" customHeight="1">
      <c r="A51" s="1"/>
      <c r="C51" s="1"/>
      <c r="D51" s="17">
        <v>0.0</v>
      </c>
      <c r="E51" s="17">
        <v>0.0</v>
      </c>
      <c r="F51" s="17">
        <v>0.0</v>
      </c>
      <c r="G51" s="17">
        <f t="shared" ref="G51:I51" si="32">D48</f>
        <v>1</v>
      </c>
      <c r="H51" s="17">
        <f t="shared" si="32"/>
        <v>0</v>
      </c>
      <c r="I51" s="17">
        <f t="shared" si="32"/>
        <v>0</v>
      </c>
      <c r="J51" s="1"/>
      <c r="K51" s="1"/>
      <c r="L51" s="8"/>
      <c r="M51" s="1"/>
      <c r="N51" s="51"/>
      <c r="O51" s="5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ht="14.25" customHeight="1">
      <c r="A52" s="1"/>
      <c r="C52" s="1"/>
      <c r="D52" s="14">
        <v>0.0</v>
      </c>
      <c r="E52" s="14">
        <v>0.0</v>
      </c>
      <c r="F52" s="14">
        <v>0.0</v>
      </c>
      <c r="G52" s="14">
        <f t="shared" ref="G52:I52" si="33">D49</f>
        <v>0</v>
      </c>
      <c r="H52" s="14">
        <f t="shared" si="33"/>
        <v>1</v>
      </c>
      <c r="I52" s="14">
        <f t="shared" si="33"/>
        <v>0</v>
      </c>
      <c r="J52" s="1"/>
      <c r="K52" s="1"/>
      <c r="L52" s="8"/>
      <c r="M52" s="1"/>
      <c r="N52" s="51"/>
      <c r="O52" s="51"/>
      <c r="P52" s="2" t="s">
        <v>45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ht="14.25" customHeight="1">
      <c r="A53" s="1"/>
      <c r="C53" s="1"/>
      <c r="D53" s="17">
        <v>0.0</v>
      </c>
      <c r="E53" s="17">
        <v>0.0</v>
      </c>
      <c r="F53" s="17">
        <v>0.0</v>
      </c>
      <c r="G53" s="17">
        <f t="shared" ref="G53:I53" si="34">D50</f>
        <v>0</v>
      </c>
      <c r="H53" s="17">
        <f t="shared" si="34"/>
        <v>0</v>
      </c>
      <c r="I53" s="17">
        <f t="shared" si="34"/>
        <v>1</v>
      </c>
      <c r="J53" s="1"/>
      <c r="K53" s="1"/>
      <c r="L53" s="8"/>
      <c r="M53" s="1"/>
      <c r="N53" s="51"/>
      <c r="O53" s="5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8"/>
      <c r="M54" s="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"/>
      <c r="AA54" s="1" t="s">
        <v>28</v>
      </c>
      <c r="AB54" s="1" t="s">
        <v>29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ht="14.25" customHeight="1">
      <c r="A55" s="1"/>
      <c r="B55" s="1"/>
      <c r="C55" s="1"/>
      <c r="D55" s="1">
        <f t="shared" ref="D55:I55" si="35">D39</f>
        <v>4</v>
      </c>
      <c r="E55" s="1">
        <f t="shared" si="35"/>
        <v>5</v>
      </c>
      <c r="F55" s="1">
        <f t="shared" si="35"/>
        <v>6</v>
      </c>
      <c r="G55" s="1">
        <f t="shared" si="35"/>
        <v>7</v>
      </c>
      <c r="H55" s="1">
        <f t="shared" si="35"/>
        <v>8</v>
      </c>
      <c r="I55" s="1">
        <f t="shared" si="35"/>
        <v>9</v>
      </c>
      <c r="J55" s="1"/>
      <c r="K55" s="1"/>
      <c r="L55" s="8"/>
      <c r="M55" s="1"/>
      <c r="N55" s="51"/>
      <c r="O55" s="51"/>
      <c r="P55" s="52" t="s">
        <v>30</v>
      </c>
      <c r="Q55" s="51" t="s">
        <v>10</v>
      </c>
      <c r="R55" s="12"/>
      <c r="S55" s="51"/>
      <c r="T55" s="52" t="s">
        <v>46</v>
      </c>
      <c r="U55" s="14" t="str">
        <f t="array" ref="U55">MMULT(MMULT(D72:I77,D80:I85),R55:R60)</f>
        <v>#VALUE!</v>
      </c>
      <c r="V55" s="1"/>
      <c r="W55" s="52" t="s">
        <v>32</v>
      </c>
      <c r="X55" s="12">
        <v>0.0</v>
      </c>
      <c r="Y55" s="51"/>
      <c r="Z55" s="52" t="s">
        <v>47</v>
      </c>
      <c r="AA55" s="14" t="str">
        <f t="shared" ref="AA55:AA60" si="36">X55+U55</f>
        <v>#VALUE!</v>
      </c>
      <c r="AB55" s="53" t="str">
        <f>-AA55</f>
        <v>#VALUE!</v>
      </c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ht="14.25" customHeight="1">
      <c r="A56" s="1"/>
      <c r="B56" s="13" t="s">
        <v>48</v>
      </c>
      <c r="C56" s="1">
        <f>D55</f>
        <v>4</v>
      </c>
      <c r="D56" s="29">
        <f t="array" ref="D56:I61">MMULT(MMULT(TRANSPOSE(D48:I53),D40:I45),D48:I53)</f>
        <v>1125000</v>
      </c>
      <c r="E56" s="30">
        <v>0.0</v>
      </c>
      <c r="F56" s="30">
        <v>0.0</v>
      </c>
      <c r="G56" s="30">
        <v>-1125000.0</v>
      </c>
      <c r="H56" s="31">
        <v>0.0</v>
      </c>
      <c r="I56" s="32">
        <v>0.0</v>
      </c>
      <c r="J56" s="1"/>
      <c r="K56" s="1"/>
      <c r="L56" s="8"/>
      <c r="M56" s="1"/>
      <c r="N56" s="51"/>
      <c r="O56" s="51"/>
      <c r="Q56" s="51" t="s">
        <v>35</v>
      </c>
      <c r="R56" s="16"/>
      <c r="S56" s="51"/>
      <c r="U56" s="17"/>
      <c r="V56" s="1"/>
      <c r="X56" s="16">
        <v>0.0</v>
      </c>
      <c r="Y56" s="51"/>
      <c r="AA56" s="14">
        <f t="shared" si="36"/>
        <v>0</v>
      </c>
      <c r="AB56" s="53">
        <f t="shared" ref="AB56:AB58" si="37">AA56</f>
        <v>0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ht="14.25" customHeight="1">
      <c r="A57" s="1"/>
      <c r="C57" s="1">
        <f>E55</f>
        <v>5</v>
      </c>
      <c r="D57" s="34">
        <v>0.0</v>
      </c>
      <c r="E57" s="17">
        <v>17578.125</v>
      </c>
      <c r="F57" s="17">
        <v>-35156.25</v>
      </c>
      <c r="G57" s="17">
        <v>0.0</v>
      </c>
      <c r="H57" s="35">
        <v>-17578.125</v>
      </c>
      <c r="I57" s="36">
        <v>-35156.25</v>
      </c>
      <c r="J57" s="1"/>
      <c r="K57" s="1"/>
      <c r="L57" s="8"/>
      <c r="M57" s="1"/>
      <c r="N57" s="51"/>
      <c r="O57" s="51"/>
      <c r="Q57" s="51" t="s">
        <v>36</v>
      </c>
      <c r="R57" s="16"/>
      <c r="S57" s="51"/>
      <c r="U57" s="14"/>
      <c r="V57" s="1"/>
      <c r="X57" s="16">
        <v>0.0</v>
      </c>
      <c r="Y57" s="51"/>
      <c r="AA57" s="14">
        <f t="shared" si="36"/>
        <v>0</v>
      </c>
      <c r="AB57" s="53">
        <f t="shared" si="37"/>
        <v>0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ht="14.25" customHeight="1">
      <c r="A58" s="1"/>
      <c r="C58" s="1">
        <f>F55</f>
        <v>6</v>
      </c>
      <c r="D58" s="37">
        <v>0.0</v>
      </c>
      <c r="E58" s="38">
        <v>-35156.25</v>
      </c>
      <c r="F58" s="38">
        <v>93749.99999999999</v>
      </c>
      <c r="G58" s="38">
        <v>0.0</v>
      </c>
      <c r="H58" s="39">
        <v>35156.25</v>
      </c>
      <c r="I58" s="40">
        <v>46874.99999999999</v>
      </c>
      <c r="J58" s="1"/>
      <c r="K58" s="1"/>
      <c r="L58" s="8"/>
      <c r="M58" s="1"/>
      <c r="N58" s="51"/>
      <c r="O58" s="51"/>
      <c r="Q58" s="51" t="s">
        <v>12</v>
      </c>
      <c r="R58" s="16"/>
      <c r="S58" s="51"/>
      <c r="U58" s="17"/>
      <c r="V58" s="1"/>
      <c r="X58" s="16">
        <v>0.0</v>
      </c>
      <c r="Y58" s="51"/>
      <c r="AA58" s="14">
        <f t="shared" si="36"/>
        <v>0</v>
      </c>
      <c r="AB58" s="53">
        <f t="shared" si="37"/>
        <v>0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ht="14.25" customHeight="1">
      <c r="A59" s="1"/>
      <c r="C59" s="1">
        <f>G55</f>
        <v>7</v>
      </c>
      <c r="D59" s="34">
        <v>-1125000.0</v>
      </c>
      <c r="E59" s="17">
        <v>0.0</v>
      </c>
      <c r="F59" s="17">
        <v>0.0</v>
      </c>
      <c r="G59" s="17">
        <v>1125000.0</v>
      </c>
      <c r="H59" s="35">
        <v>0.0</v>
      </c>
      <c r="I59" s="36">
        <v>0.0</v>
      </c>
      <c r="J59" s="1"/>
      <c r="K59" s="1"/>
      <c r="L59" s="8"/>
      <c r="M59" s="1"/>
      <c r="N59" s="51"/>
      <c r="O59" s="51"/>
      <c r="Q59" s="51" t="s">
        <v>38</v>
      </c>
      <c r="R59" s="16"/>
      <c r="S59" s="51"/>
      <c r="U59" s="14"/>
      <c r="V59" s="1"/>
      <c r="X59" s="16">
        <v>0.0</v>
      </c>
      <c r="Y59" s="51"/>
      <c r="AA59" s="14">
        <f t="shared" si="36"/>
        <v>0</v>
      </c>
      <c r="AB59" s="53">
        <f t="shared" ref="AB59:AB60" si="38">-AA59</f>
        <v>0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ht="14.25" customHeight="1">
      <c r="A60" s="1"/>
      <c r="C60" s="1">
        <f>H55</f>
        <v>8</v>
      </c>
      <c r="D60" s="37">
        <v>0.0</v>
      </c>
      <c r="E60" s="38">
        <v>-17578.125</v>
      </c>
      <c r="F60" s="38">
        <v>35156.25</v>
      </c>
      <c r="G60" s="38">
        <v>0.0</v>
      </c>
      <c r="H60" s="39">
        <v>17578.125</v>
      </c>
      <c r="I60" s="40">
        <v>35156.25</v>
      </c>
      <c r="J60" s="1"/>
      <c r="K60" s="1"/>
      <c r="L60" s="1"/>
      <c r="M60" s="1"/>
      <c r="N60" s="51"/>
      <c r="O60" s="51"/>
      <c r="Q60" s="51" t="s">
        <v>39</v>
      </c>
      <c r="R60" s="16"/>
      <c r="S60" s="51"/>
      <c r="U60" s="17"/>
      <c r="V60" s="1"/>
      <c r="X60" s="16">
        <v>0.0</v>
      </c>
      <c r="Y60" s="51"/>
      <c r="AA60" s="14">
        <f t="shared" si="36"/>
        <v>0</v>
      </c>
      <c r="AB60" s="53">
        <f t="shared" si="38"/>
        <v>0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ht="14.25" customHeight="1">
      <c r="A61" s="1"/>
      <c r="C61" s="1">
        <f>I55</f>
        <v>9</v>
      </c>
      <c r="D61" s="47">
        <v>0.0</v>
      </c>
      <c r="E61" s="48">
        <v>-35156.25</v>
      </c>
      <c r="F61" s="48">
        <v>46874.99999999999</v>
      </c>
      <c r="G61" s="48">
        <v>0.0</v>
      </c>
      <c r="H61" s="49">
        <v>35156.25</v>
      </c>
      <c r="I61" s="50">
        <v>93749.99999999999</v>
      </c>
      <c r="J61" s="1"/>
      <c r="K61" s="1"/>
      <c r="L61" s="1"/>
      <c r="M61" s="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ht="14.25" customHeight="1">
      <c r="A65" s="1"/>
      <c r="B65" s="2" t="s">
        <v>45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ht="14.25" customHeight="1">
      <c r="A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51"/>
      <c r="O67" s="51"/>
      <c r="P67" s="51"/>
      <c r="Q67" s="51"/>
      <c r="R67" s="5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ht="14.25" customHeight="1">
      <c r="A68" s="1"/>
      <c r="B68" s="5" t="s">
        <v>49</v>
      </c>
      <c r="D68" s="6">
        <v>0.0</v>
      </c>
      <c r="E68" s="1"/>
      <c r="F68" s="1" t="s">
        <v>4</v>
      </c>
      <c r="G68" s="6">
        <v>0.0</v>
      </c>
      <c r="H68" s="1" t="s">
        <v>5</v>
      </c>
      <c r="I68" s="1"/>
      <c r="J68" s="1"/>
      <c r="K68" s="1"/>
      <c r="L68" s="1"/>
      <c r="M68" s="1"/>
      <c r="N68" s="51"/>
      <c r="O68" s="51"/>
      <c r="P68" s="51"/>
      <c r="Q68" s="51"/>
      <c r="R68" s="5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ht="14.25" customHeight="1">
      <c r="A69" s="1"/>
      <c r="B69" s="5" t="s">
        <v>6</v>
      </c>
      <c r="D69" s="6">
        <v>1.0</v>
      </c>
      <c r="E69" s="1"/>
      <c r="F69" s="1" t="s">
        <v>7</v>
      </c>
      <c r="G69" s="6">
        <v>1.0</v>
      </c>
      <c r="H69" s="1" t="s">
        <v>8</v>
      </c>
      <c r="I69" s="1"/>
      <c r="J69" s="1"/>
      <c r="K69" s="1"/>
      <c r="L69" s="1"/>
      <c r="M69" s="1"/>
      <c r="N69" s="51"/>
      <c r="O69" s="51"/>
      <c r="P69" s="51"/>
      <c r="Q69" s="51"/>
      <c r="R69" s="5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ht="14.25" customHeight="1">
      <c r="A70" s="1"/>
      <c r="B70" s="5" t="s">
        <v>50</v>
      </c>
      <c r="D70" s="6">
        <v>-90.0</v>
      </c>
      <c r="E70" s="1"/>
      <c r="F70" s="1"/>
      <c r="G70" s="1"/>
      <c r="H70" s="1"/>
      <c r="I70" s="1"/>
      <c r="J70" s="1"/>
      <c r="K70" s="1"/>
      <c r="L70" s="1"/>
      <c r="M70" s="1"/>
      <c r="N70" s="51"/>
      <c r="O70" s="51"/>
      <c r="P70" s="51"/>
      <c r="Q70" s="51"/>
      <c r="R70" s="5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ht="14.25" customHeight="1">
      <c r="A71" s="1"/>
      <c r="B71" s="1"/>
      <c r="C71" s="1"/>
      <c r="D71" s="7">
        <v>4.0</v>
      </c>
      <c r="E71" s="7">
        <v>5.0</v>
      </c>
      <c r="F71" s="7"/>
      <c r="G71" s="7">
        <v>9.0</v>
      </c>
      <c r="H71" s="7">
        <v>10.0</v>
      </c>
      <c r="I71" s="7"/>
      <c r="J71" s="1"/>
      <c r="K71" s="1"/>
      <c r="L71" s="1"/>
      <c r="M71" s="1"/>
      <c r="N71" s="51"/>
      <c r="O71" s="51"/>
      <c r="P71" s="51"/>
      <c r="Q71" s="51"/>
      <c r="R71" s="5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ht="14.25" customHeight="1">
      <c r="A72" s="1"/>
      <c r="B72" s="13" t="s">
        <v>51</v>
      </c>
      <c r="C72" s="1">
        <f>D71</f>
        <v>4</v>
      </c>
      <c r="D72" s="14">
        <f>D68*D69/G69</f>
        <v>0</v>
      </c>
      <c r="E72" s="14">
        <v>0.0</v>
      </c>
      <c r="F72" s="14">
        <v>0.0</v>
      </c>
      <c r="G72" s="14">
        <f>-D72</f>
        <v>0</v>
      </c>
      <c r="H72" s="14">
        <v>0.0</v>
      </c>
      <c r="I72" s="14">
        <v>0.0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ht="14.25" customHeight="1">
      <c r="A73" s="1"/>
      <c r="C73" s="1">
        <f>E71</f>
        <v>5</v>
      </c>
      <c r="D73" s="17">
        <f>E72</f>
        <v>0</v>
      </c>
      <c r="E73" s="17">
        <f>12*D68*G68/G69^3</f>
        <v>0</v>
      </c>
      <c r="F73" s="17">
        <f>-6*D68*G68/G69^2</f>
        <v>0</v>
      </c>
      <c r="G73" s="17">
        <v>0.0</v>
      </c>
      <c r="H73" s="17">
        <f>-E73</f>
        <v>0</v>
      </c>
      <c r="I73" s="17">
        <f>F73</f>
        <v>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ht="14.25" customHeight="1">
      <c r="A74" s="1"/>
      <c r="C74" s="1" t="str">
        <f>F71</f>
        <v/>
      </c>
      <c r="D74" s="14">
        <f>F72</f>
        <v>0</v>
      </c>
      <c r="E74" s="14">
        <f>F73</f>
        <v>0</v>
      </c>
      <c r="F74" s="14">
        <f>4*D68*G68/G69</f>
        <v>0</v>
      </c>
      <c r="G74" s="14">
        <f>0</f>
        <v>0</v>
      </c>
      <c r="H74" s="14">
        <f>-F73</f>
        <v>0</v>
      </c>
      <c r="I74" s="14">
        <f>F74/2</f>
        <v>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ht="14.25" customHeight="1">
      <c r="A75" s="1"/>
      <c r="C75" s="1">
        <f>G71</f>
        <v>9</v>
      </c>
      <c r="D75" s="17">
        <f>G72</f>
        <v>0</v>
      </c>
      <c r="E75" s="17">
        <f>G73</f>
        <v>0</v>
      </c>
      <c r="F75" s="17">
        <f>G74</f>
        <v>0</v>
      </c>
      <c r="G75" s="17">
        <f>D72</f>
        <v>0</v>
      </c>
      <c r="H75" s="17">
        <v>0.0</v>
      </c>
      <c r="I75" s="17">
        <v>0.0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ht="14.25" customHeight="1">
      <c r="A76" s="1"/>
      <c r="C76" s="1">
        <f>H71</f>
        <v>10</v>
      </c>
      <c r="D76" s="14">
        <f>H72</f>
        <v>0</v>
      </c>
      <c r="E76" s="14">
        <f>H73</f>
        <v>0</v>
      </c>
      <c r="F76" s="14">
        <f>H74</f>
        <v>0</v>
      </c>
      <c r="G76" s="14">
        <f>H75</f>
        <v>0</v>
      </c>
      <c r="H76" s="14">
        <f>E73</f>
        <v>0</v>
      </c>
      <c r="I76" s="14">
        <f>-F73</f>
        <v>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ht="14.25" customHeight="1">
      <c r="A77" s="1"/>
      <c r="C77" s="1" t="str">
        <f>I71</f>
        <v/>
      </c>
      <c r="D77" s="17">
        <f>I72</f>
        <v>0</v>
      </c>
      <c r="E77" s="17">
        <f>I73</f>
        <v>0</v>
      </c>
      <c r="F77" s="17">
        <f>I74</f>
        <v>0</v>
      </c>
      <c r="G77" s="17">
        <f>I75</f>
        <v>0</v>
      </c>
      <c r="H77" s="17">
        <f>I76</f>
        <v>0</v>
      </c>
      <c r="I77" s="17">
        <f>F74</f>
        <v>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ht="14.25" customHeight="1">
      <c r="A78" s="1"/>
      <c r="B78" s="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ht="14.25" customHeight="1">
      <c r="A79" s="1"/>
      <c r="B79" s="1"/>
      <c r="C79" s="1"/>
      <c r="D79" s="19">
        <f>D70*PI()/180</f>
        <v>-1.570796327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ht="14.25" customHeight="1">
      <c r="A80" s="1"/>
      <c r="B80" s="13" t="s">
        <v>52</v>
      </c>
      <c r="C80" s="1"/>
      <c r="D80" s="14">
        <f>COS(D79)</f>
        <v>0</v>
      </c>
      <c r="E80" s="14">
        <f>SIN(D79)</f>
        <v>-1</v>
      </c>
      <c r="F80" s="14">
        <v>0.0</v>
      </c>
      <c r="G80" s="14">
        <v>0.0</v>
      </c>
      <c r="H80" s="14">
        <v>0.0</v>
      </c>
      <c r="I80" s="14">
        <v>0.0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ht="14.25" customHeight="1">
      <c r="A81" s="1"/>
      <c r="C81" s="1"/>
      <c r="D81" s="17">
        <f>-E80</f>
        <v>1</v>
      </c>
      <c r="E81" s="17">
        <f>D80</f>
        <v>0</v>
      </c>
      <c r="F81" s="17">
        <v>0.0</v>
      </c>
      <c r="G81" s="17">
        <v>0.0</v>
      </c>
      <c r="H81" s="17">
        <v>0.0</v>
      </c>
      <c r="I81" s="17">
        <v>0.0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ht="14.25" customHeight="1">
      <c r="A82" s="1"/>
      <c r="C82" s="1"/>
      <c r="D82" s="14">
        <v>0.0</v>
      </c>
      <c r="E82" s="14">
        <v>0.0</v>
      </c>
      <c r="F82" s="14">
        <v>1.0</v>
      </c>
      <c r="G82" s="14">
        <v>0.0</v>
      </c>
      <c r="H82" s="14">
        <v>0.0</v>
      </c>
      <c r="I82" s="14">
        <v>0.0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ht="14.25" customHeight="1">
      <c r="A83" s="1"/>
      <c r="C83" s="1"/>
      <c r="D83" s="17">
        <v>0.0</v>
      </c>
      <c r="E83" s="17">
        <v>0.0</v>
      </c>
      <c r="F83" s="17">
        <v>0.0</v>
      </c>
      <c r="G83" s="17">
        <f t="shared" ref="G83:I83" si="39">D80</f>
        <v>0</v>
      </c>
      <c r="H83" s="17">
        <f t="shared" si="39"/>
        <v>-1</v>
      </c>
      <c r="I83" s="17">
        <f t="shared" si="39"/>
        <v>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ht="14.25" customHeight="1">
      <c r="A84" s="1"/>
      <c r="C84" s="1"/>
      <c r="D84" s="14">
        <v>0.0</v>
      </c>
      <c r="E84" s="14">
        <v>0.0</v>
      </c>
      <c r="F84" s="14">
        <v>0.0</v>
      </c>
      <c r="G84" s="14">
        <f t="shared" ref="G84:I84" si="40">D81</f>
        <v>1</v>
      </c>
      <c r="H84" s="14">
        <f t="shared" si="40"/>
        <v>0</v>
      </c>
      <c r="I84" s="14">
        <f t="shared" si="40"/>
        <v>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ht="14.25" customHeight="1">
      <c r="A85" s="1"/>
      <c r="C85" s="1"/>
      <c r="D85" s="17">
        <v>0.0</v>
      </c>
      <c r="E85" s="17">
        <v>0.0</v>
      </c>
      <c r="F85" s="17">
        <v>0.0</v>
      </c>
      <c r="G85" s="17">
        <f t="shared" ref="G85:I85" si="41">D82</f>
        <v>0</v>
      </c>
      <c r="H85" s="17">
        <f t="shared" si="41"/>
        <v>0</v>
      </c>
      <c r="I85" s="17">
        <f t="shared" si="41"/>
        <v>1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ht="14.25" customHeight="1">
      <c r="A87" s="1"/>
      <c r="B87" s="1"/>
      <c r="C87" s="1"/>
      <c r="D87" s="1">
        <f t="shared" ref="D87:I87" si="42">D71</f>
        <v>4</v>
      </c>
      <c r="E87" s="1">
        <f t="shared" si="42"/>
        <v>5</v>
      </c>
      <c r="F87" s="1" t="str">
        <f t="shared" si="42"/>
        <v/>
      </c>
      <c r="G87" s="1">
        <f t="shared" si="42"/>
        <v>9</v>
      </c>
      <c r="H87" s="1">
        <f t="shared" si="42"/>
        <v>10</v>
      </c>
      <c r="I87" s="1" t="str">
        <f t="shared" si="42"/>
        <v/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ht="14.25" customHeight="1">
      <c r="A88" s="1"/>
      <c r="B88" s="13" t="s">
        <v>53</v>
      </c>
      <c r="C88" s="1">
        <f>D87</f>
        <v>4</v>
      </c>
      <c r="D88" s="29">
        <f t="array" ref="D88:I93">MMULT(MMULT(TRANSPOSE(D80:I85),D72:I77),D80:I85)</f>
        <v>0</v>
      </c>
      <c r="E88" s="30">
        <v>0.0</v>
      </c>
      <c r="F88" s="30">
        <v>0.0</v>
      </c>
      <c r="G88" s="30">
        <v>0.0</v>
      </c>
      <c r="H88" s="31">
        <v>0.0</v>
      </c>
      <c r="I88" s="32">
        <v>0.0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ht="14.25" customHeight="1">
      <c r="A89" s="1"/>
      <c r="C89" s="1">
        <f>E87</f>
        <v>5</v>
      </c>
      <c r="D89" s="34">
        <v>0.0</v>
      </c>
      <c r="E89" s="17">
        <v>0.0</v>
      </c>
      <c r="F89" s="17">
        <v>0.0</v>
      </c>
      <c r="G89" s="17">
        <v>0.0</v>
      </c>
      <c r="H89" s="35">
        <v>0.0</v>
      </c>
      <c r="I89" s="36">
        <v>0.0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ht="14.25" customHeight="1">
      <c r="A90" s="1"/>
      <c r="C90" s="1" t="str">
        <f>F87</f>
        <v/>
      </c>
      <c r="D90" s="37">
        <v>0.0</v>
      </c>
      <c r="E90" s="38">
        <v>0.0</v>
      </c>
      <c r="F90" s="38">
        <v>0.0</v>
      </c>
      <c r="G90" s="38">
        <v>0.0</v>
      </c>
      <c r="H90" s="39">
        <v>0.0</v>
      </c>
      <c r="I90" s="40">
        <v>0.0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ht="14.25" customHeight="1">
      <c r="A91" s="1"/>
      <c r="C91" s="1">
        <f>G87</f>
        <v>9</v>
      </c>
      <c r="D91" s="34">
        <v>0.0</v>
      </c>
      <c r="E91" s="17">
        <v>0.0</v>
      </c>
      <c r="F91" s="17">
        <v>0.0</v>
      </c>
      <c r="G91" s="17">
        <v>0.0</v>
      </c>
      <c r="H91" s="35">
        <v>0.0</v>
      </c>
      <c r="I91" s="36">
        <v>0.0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ht="14.25" customHeight="1">
      <c r="A92" s="1"/>
      <c r="C92" s="1">
        <f>H87</f>
        <v>10</v>
      </c>
      <c r="D92" s="37">
        <v>0.0</v>
      </c>
      <c r="E92" s="38">
        <v>0.0</v>
      </c>
      <c r="F92" s="38">
        <v>0.0</v>
      </c>
      <c r="G92" s="38">
        <v>0.0</v>
      </c>
      <c r="H92" s="39">
        <v>0.0</v>
      </c>
      <c r="I92" s="40">
        <v>0.0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ht="14.25" customHeight="1">
      <c r="A93" s="1"/>
      <c r="C93" s="1" t="str">
        <f>I87</f>
        <v/>
      </c>
      <c r="D93" s="47">
        <v>0.0</v>
      </c>
      <c r="E93" s="48">
        <v>0.0</v>
      </c>
      <c r="F93" s="48">
        <v>0.0</v>
      </c>
      <c r="G93" s="48">
        <v>0.0</v>
      </c>
      <c r="H93" s="49">
        <v>0.0</v>
      </c>
      <c r="I93" s="50">
        <v>0.0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 count="40">
    <mergeCell ref="B1:I2"/>
    <mergeCell ref="P3:AA4"/>
    <mergeCell ref="AC3:AD4"/>
    <mergeCell ref="B4:C4"/>
    <mergeCell ref="B5:C5"/>
    <mergeCell ref="B6:C6"/>
    <mergeCell ref="B8:B13"/>
    <mergeCell ref="B16:B21"/>
    <mergeCell ref="P20:X21"/>
    <mergeCell ref="B24:B29"/>
    <mergeCell ref="P26:AA27"/>
    <mergeCell ref="P29:W30"/>
    <mergeCell ref="P32:P37"/>
    <mergeCell ref="T32:T37"/>
    <mergeCell ref="B37:C37"/>
    <mergeCell ref="P43:P48"/>
    <mergeCell ref="P55:P60"/>
    <mergeCell ref="T55:T60"/>
    <mergeCell ref="W55:W60"/>
    <mergeCell ref="Z55:Z60"/>
    <mergeCell ref="W32:W37"/>
    <mergeCell ref="Z32:Z37"/>
    <mergeCell ref="P40:W41"/>
    <mergeCell ref="T43:T48"/>
    <mergeCell ref="W43:W48"/>
    <mergeCell ref="Z43:Z48"/>
    <mergeCell ref="P52:W53"/>
    <mergeCell ref="B68:C68"/>
    <mergeCell ref="B69:C69"/>
    <mergeCell ref="B70:C70"/>
    <mergeCell ref="B72:B77"/>
    <mergeCell ref="B80:B85"/>
    <mergeCell ref="B88:B93"/>
    <mergeCell ref="B33:I34"/>
    <mergeCell ref="B36:C36"/>
    <mergeCell ref="B38:C38"/>
    <mergeCell ref="B40:B45"/>
    <mergeCell ref="B48:B53"/>
    <mergeCell ref="B56:B61"/>
    <mergeCell ref="B65:I66"/>
  </mergeCells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