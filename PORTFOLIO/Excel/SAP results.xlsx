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0" documentId="8_{6356C9AB-53A6-40DB-88E7-7722CF9CC734}" xr6:coauthVersionLast="47" xr6:coauthVersionMax="47" xr10:uidLastSave="{00000000-0000-0000-0000-000000000000}"/>
  <bookViews>
    <workbookView xWindow="0" yWindow="0" windowWidth="0" windowHeight="0" activeTab="12" xr2:uid="{00000000-000D-0000-FFFF-FFFF00000000}"/>
  </bookViews>
  <sheets>
    <sheet name="SAP Results" sheetId="1" r:id="rId1"/>
    <sheet name="G-1" sheetId="2" r:id="rId2"/>
    <sheet name="G-2" sheetId="3" r:id="rId3"/>
    <sheet name="Q-1" sheetId="4" r:id="rId4"/>
    <sheet name="Q-2" sheetId="5" r:id="rId5"/>
    <sheet name="EX" sheetId="6" r:id="rId6"/>
    <sheet name="Δ-Δ" sheetId="7" r:id="rId7"/>
    <sheet name="Δ-Ε" sheetId="8" r:id="rId8"/>
    <sheet name="Ε-Δ" sheetId="9" r:id="rId9"/>
    <sheet name="EQ+" sheetId="10" r:id="rId10"/>
    <sheet name="EQ-" sheetId="11" r:id="rId11"/>
    <sheet name="1-2-4" sheetId="12" r:id="rId12"/>
    <sheet name="Πίνακας αποτελεσμάτων" sheetId="13" r:id="rId13"/>
  </sheets>
  <definedNames>
    <definedName name="_xlnm._FilterDatabase" localSheetId="1" hidden="1">'G-1'!$A$1:$L$136</definedName>
    <definedName name="_xlnm._FilterDatabase" localSheetId="2" hidden="1">'G-2'!$A$1:$L$136</definedName>
    <definedName name="_xlnm._FilterDatabase" localSheetId="3" hidden="1">'Q-1'!$A$1:$L$136</definedName>
    <definedName name="_xlnm._FilterDatabase" localSheetId="4" hidden="1">'Q-2'!$A$1:$L$136</definedName>
    <definedName name="_xlnm._FilterDatabase" localSheetId="5" hidden="1">EX!$A$1:$L$136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VbOhpYk/8PLvOL/EhhQxLff8vTvps5opXoHjCow5j2U="/>
    </ext>
  </extLst>
</workbook>
</file>

<file path=xl/calcChain.xml><?xml version="1.0" encoding="utf-8"?>
<calcChain xmlns="http://schemas.openxmlformats.org/spreadsheetml/2006/main">
  <c r="L136" i="6" l="1"/>
  <c r="K136" i="6"/>
  <c r="J136" i="6"/>
  <c r="I136" i="6"/>
  <c r="H136" i="6"/>
  <c r="G136" i="6"/>
  <c r="F136" i="6"/>
  <c r="E136" i="6"/>
  <c r="D136" i="6"/>
  <c r="C136" i="6"/>
  <c r="B136" i="6"/>
  <c r="A136" i="6"/>
  <c r="L135" i="6"/>
  <c r="K135" i="6"/>
  <c r="J135" i="6"/>
  <c r="I135" i="6"/>
  <c r="H135" i="6"/>
  <c r="G135" i="6"/>
  <c r="F135" i="6"/>
  <c r="E135" i="6"/>
  <c r="D135" i="6"/>
  <c r="C135" i="6"/>
  <c r="B135" i="6"/>
  <c r="A135" i="6"/>
  <c r="L134" i="6"/>
  <c r="K134" i="6"/>
  <c r="J134" i="6"/>
  <c r="I134" i="6"/>
  <c r="H134" i="6"/>
  <c r="G134" i="6"/>
  <c r="F134" i="6"/>
  <c r="E134" i="6"/>
  <c r="D134" i="6"/>
  <c r="C134" i="6"/>
  <c r="B134" i="6"/>
  <c r="A134" i="6"/>
  <c r="L133" i="6"/>
  <c r="K133" i="6"/>
  <c r="J133" i="6"/>
  <c r="I133" i="6"/>
  <c r="H133" i="6"/>
  <c r="G133" i="6"/>
  <c r="F133" i="6"/>
  <c r="E133" i="6"/>
  <c r="D133" i="6"/>
  <c r="C133" i="6"/>
  <c r="B133" i="6"/>
  <c r="A133" i="6"/>
  <c r="L132" i="6"/>
  <c r="K132" i="6"/>
  <c r="J132" i="6"/>
  <c r="I132" i="6"/>
  <c r="H132" i="6"/>
  <c r="G132" i="6"/>
  <c r="F132" i="6"/>
  <c r="E132" i="6"/>
  <c r="D132" i="6"/>
  <c r="C132" i="6"/>
  <c r="B132" i="6"/>
  <c r="A132" i="6"/>
  <c r="L131" i="6"/>
  <c r="K131" i="6"/>
  <c r="J131" i="6"/>
  <c r="I131" i="6"/>
  <c r="H131" i="6"/>
  <c r="G131" i="6"/>
  <c r="F131" i="6"/>
  <c r="E131" i="6"/>
  <c r="D131" i="6"/>
  <c r="C131" i="6"/>
  <c r="B131" i="6"/>
  <c r="A131" i="6"/>
  <c r="L130" i="6"/>
  <c r="K130" i="6"/>
  <c r="J130" i="6"/>
  <c r="I130" i="6"/>
  <c r="H130" i="6"/>
  <c r="G130" i="6"/>
  <c r="F130" i="6"/>
  <c r="E130" i="6"/>
  <c r="D130" i="6"/>
  <c r="C130" i="6"/>
  <c r="B130" i="6"/>
  <c r="A130" i="6"/>
  <c r="L129" i="6"/>
  <c r="K129" i="6"/>
  <c r="J129" i="6"/>
  <c r="I129" i="6"/>
  <c r="H129" i="6"/>
  <c r="G129" i="6"/>
  <c r="F129" i="6"/>
  <c r="E129" i="6"/>
  <c r="D129" i="6"/>
  <c r="C129" i="6"/>
  <c r="B129" i="6"/>
  <c r="A129" i="6"/>
  <c r="L128" i="6"/>
  <c r="K128" i="6"/>
  <c r="J128" i="6"/>
  <c r="I128" i="6"/>
  <c r="H128" i="6"/>
  <c r="G128" i="6"/>
  <c r="F128" i="6"/>
  <c r="E128" i="6"/>
  <c r="D128" i="6"/>
  <c r="C128" i="6"/>
  <c r="B128" i="6"/>
  <c r="A128" i="6"/>
  <c r="L127" i="6"/>
  <c r="K127" i="6"/>
  <c r="J127" i="6"/>
  <c r="I127" i="6"/>
  <c r="H127" i="6"/>
  <c r="G127" i="6"/>
  <c r="F127" i="6"/>
  <c r="E127" i="6"/>
  <c r="D127" i="6"/>
  <c r="C127" i="6"/>
  <c r="B127" i="6"/>
  <c r="A127" i="6"/>
  <c r="L126" i="6"/>
  <c r="K126" i="6"/>
  <c r="J126" i="6"/>
  <c r="I126" i="6"/>
  <c r="H126" i="6"/>
  <c r="G126" i="6"/>
  <c r="F126" i="6"/>
  <c r="E126" i="6"/>
  <c r="D126" i="6"/>
  <c r="C126" i="6"/>
  <c r="B126" i="6"/>
  <c r="A126" i="6"/>
  <c r="L125" i="6"/>
  <c r="K125" i="6"/>
  <c r="J125" i="6"/>
  <c r="I125" i="6"/>
  <c r="H125" i="6"/>
  <c r="G125" i="6"/>
  <c r="F125" i="6"/>
  <c r="E125" i="6"/>
  <c r="D125" i="6"/>
  <c r="C125" i="6"/>
  <c r="B125" i="6"/>
  <c r="A125" i="6"/>
  <c r="L124" i="6"/>
  <c r="K124" i="6"/>
  <c r="J124" i="6"/>
  <c r="I124" i="6"/>
  <c r="H124" i="6"/>
  <c r="G124" i="6"/>
  <c r="F124" i="6"/>
  <c r="E124" i="6"/>
  <c r="D124" i="6"/>
  <c r="C124" i="6"/>
  <c r="B124" i="6"/>
  <c r="A124" i="6"/>
  <c r="L123" i="6"/>
  <c r="K123" i="6"/>
  <c r="J123" i="6"/>
  <c r="I123" i="6"/>
  <c r="H123" i="6"/>
  <c r="G123" i="6"/>
  <c r="F123" i="6"/>
  <c r="E123" i="6"/>
  <c r="D123" i="6"/>
  <c r="C123" i="6"/>
  <c r="B123" i="6"/>
  <c r="A123" i="6"/>
  <c r="L122" i="6"/>
  <c r="K122" i="6"/>
  <c r="J122" i="6"/>
  <c r="I122" i="6"/>
  <c r="H122" i="6"/>
  <c r="G122" i="6"/>
  <c r="F122" i="6"/>
  <c r="E122" i="6"/>
  <c r="D122" i="6"/>
  <c r="C122" i="6"/>
  <c r="B122" i="6"/>
  <c r="A122" i="6"/>
  <c r="L121" i="6"/>
  <c r="K121" i="6"/>
  <c r="J121" i="6"/>
  <c r="I121" i="6"/>
  <c r="H121" i="6"/>
  <c r="G121" i="6"/>
  <c r="F121" i="6"/>
  <c r="E121" i="6"/>
  <c r="D121" i="6"/>
  <c r="C121" i="6"/>
  <c r="B121" i="6"/>
  <c r="A121" i="6"/>
  <c r="L120" i="6"/>
  <c r="K120" i="6"/>
  <c r="J120" i="6"/>
  <c r="I120" i="6"/>
  <c r="H120" i="6"/>
  <c r="G120" i="6"/>
  <c r="F120" i="6"/>
  <c r="E120" i="6"/>
  <c r="D120" i="6"/>
  <c r="C120" i="6"/>
  <c r="B120" i="6"/>
  <c r="A120" i="6"/>
  <c r="L119" i="6"/>
  <c r="K119" i="6"/>
  <c r="J119" i="6"/>
  <c r="I119" i="6"/>
  <c r="H119" i="6"/>
  <c r="G119" i="6"/>
  <c r="F119" i="6"/>
  <c r="E119" i="6"/>
  <c r="D119" i="6"/>
  <c r="C119" i="6"/>
  <c r="B119" i="6"/>
  <c r="A119" i="6"/>
  <c r="L118" i="6"/>
  <c r="K118" i="6"/>
  <c r="J118" i="6"/>
  <c r="I118" i="6"/>
  <c r="H118" i="6"/>
  <c r="G118" i="6"/>
  <c r="F118" i="6"/>
  <c r="E118" i="6"/>
  <c r="D118" i="6"/>
  <c r="C118" i="6"/>
  <c r="B118" i="6"/>
  <c r="A118" i="6"/>
  <c r="L117" i="6"/>
  <c r="K117" i="6"/>
  <c r="J117" i="6"/>
  <c r="I117" i="6"/>
  <c r="H117" i="6"/>
  <c r="G117" i="6"/>
  <c r="F117" i="6"/>
  <c r="E117" i="6"/>
  <c r="D117" i="6"/>
  <c r="C117" i="6"/>
  <c r="B117" i="6"/>
  <c r="A117" i="6"/>
  <c r="L116" i="6"/>
  <c r="K116" i="6"/>
  <c r="J116" i="6"/>
  <c r="I116" i="6"/>
  <c r="H116" i="6"/>
  <c r="G116" i="6"/>
  <c r="F116" i="6"/>
  <c r="E116" i="6"/>
  <c r="D116" i="6"/>
  <c r="C116" i="6"/>
  <c r="B116" i="6"/>
  <c r="A116" i="6"/>
  <c r="L115" i="6"/>
  <c r="K115" i="6"/>
  <c r="J115" i="6"/>
  <c r="I115" i="6"/>
  <c r="H115" i="6"/>
  <c r="G115" i="6"/>
  <c r="F115" i="6"/>
  <c r="E115" i="6"/>
  <c r="D115" i="6"/>
  <c r="C115" i="6"/>
  <c r="B115" i="6"/>
  <c r="A115" i="6"/>
  <c r="L114" i="6"/>
  <c r="K114" i="6"/>
  <c r="J114" i="6"/>
  <c r="I114" i="6"/>
  <c r="H114" i="6"/>
  <c r="G114" i="6"/>
  <c r="F114" i="6"/>
  <c r="E114" i="6"/>
  <c r="D114" i="6"/>
  <c r="C114" i="6"/>
  <c r="B114" i="6"/>
  <c r="A114" i="6"/>
  <c r="L113" i="6"/>
  <c r="K113" i="6"/>
  <c r="J113" i="6"/>
  <c r="I113" i="6"/>
  <c r="H113" i="6"/>
  <c r="G113" i="6"/>
  <c r="F113" i="6"/>
  <c r="E113" i="6"/>
  <c r="D113" i="6"/>
  <c r="C113" i="6"/>
  <c r="B113" i="6"/>
  <c r="A113" i="6"/>
  <c r="L112" i="6"/>
  <c r="K112" i="6"/>
  <c r="J112" i="6"/>
  <c r="I112" i="6"/>
  <c r="H112" i="6"/>
  <c r="G112" i="6"/>
  <c r="F112" i="6"/>
  <c r="E112" i="6"/>
  <c r="D112" i="6"/>
  <c r="C112" i="6"/>
  <c r="B112" i="6"/>
  <c r="A112" i="6"/>
  <c r="L111" i="6"/>
  <c r="K111" i="6"/>
  <c r="J111" i="6"/>
  <c r="I111" i="6"/>
  <c r="H111" i="6"/>
  <c r="G111" i="6"/>
  <c r="F111" i="6"/>
  <c r="E111" i="6"/>
  <c r="D111" i="6"/>
  <c r="C111" i="6"/>
  <c r="B111" i="6"/>
  <c r="A111" i="6"/>
  <c r="L110" i="6"/>
  <c r="K110" i="6"/>
  <c r="J110" i="6"/>
  <c r="I110" i="6"/>
  <c r="H110" i="6"/>
  <c r="G110" i="6"/>
  <c r="F110" i="6"/>
  <c r="E110" i="6"/>
  <c r="D110" i="6"/>
  <c r="C110" i="6"/>
  <c r="B110" i="6"/>
  <c r="A110" i="6"/>
  <c r="L109" i="6"/>
  <c r="K109" i="6"/>
  <c r="J109" i="6"/>
  <c r="I109" i="6"/>
  <c r="H109" i="6"/>
  <c r="G109" i="6"/>
  <c r="F109" i="6"/>
  <c r="E109" i="6"/>
  <c r="D109" i="6"/>
  <c r="C109" i="6"/>
  <c r="B109" i="6"/>
  <c r="A109" i="6"/>
  <c r="L108" i="6"/>
  <c r="K108" i="6"/>
  <c r="J108" i="6"/>
  <c r="I108" i="6"/>
  <c r="H108" i="6"/>
  <c r="G108" i="6"/>
  <c r="F108" i="6"/>
  <c r="E108" i="6"/>
  <c r="D108" i="6"/>
  <c r="C108" i="6"/>
  <c r="B108" i="6"/>
  <c r="A108" i="6"/>
  <c r="L107" i="6"/>
  <c r="K107" i="6"/>
  <c r="J107" i="6"/>
  <c r="I107" i="6"/>
  <c r="H107" i="6"/>
  <c r="G107" i="6"/>
  <c r="F107" i="6"/>
  <c r="E107" i="6"/>
  <c r="D107" i="6"/>
  <c r="C107" i="6"/>
  <c r="B107" i="6"/>
  <c r="A107" i="6"/>
  <c r="L106" i="6"/>
  <c r="K106" i="6"/>
  <c r="J106" i="6"/>
  <c r="I106" i="6"/>
  <c r="H106" i="6"/>
  <c r="G106" i="6"/>
  <c r="F106" i="6"/>
  <c r="E106" i="6"/>
  <c r="D106" i="6"/>
  <c r="C106" i="6"/>
  <c r="B106" i="6"/>
  <c r="A106" i="6"/>
  <c r="L105" i="6"/>
  <c r="K105" i="6"/>
  <c r="J105" i="6"/>
  <c r="I105" i="6"/>
  <c r="H105" i="6"/>
  <c r="G105" i="6"/>
  <c r="F105" i="6"/>
  <c r="E105" i="6"/>
  <c r="D105" i="6"/>
  <c r="C105" i="6"/>
  <c r="B105" i="6"/>
  <c r="A105" i="6"/>
  <c r="L104" i="6"/>
  <c r="K104" i="6"/>
  <c r="J104" i="6"/>
  <c r="I104" i="6"/>
  <c r="H104" i="6"/>
  <c r="G104" i="6"/>
  <c r="F104" i="6"/>
  <c r="E104" i="6"/>
  <c r="D104" i="6"/>
  <c r="C104" i="6"/>
  <c r="B104" i="6"/>
  <c r="A104" i="6"/>
  <c r="L103" i="6"/>
  <c r="K103" i="6"/>
  <c r="J103" i="6"/>
  <c r="I103" i="6"/>
  <c r="H103" i="6"/>
  <c r="G103" i="6"/>
  <c r="F103" i="6"/>
  <c r="E103" i="6"/>
  <c r="D103" i="6"/>
  <c r="C103" i="6"/>
  <c r="B103" i="6"/>
  <c r="A103" i="6"/>
  <c r="L102" i="6"/>
  <c r="K102" i="6"/>
  <c r="J102" i="6"/>
  <c r="I102" i="6"/>
  <c r="H102" i="6"/>
  <c r="G102" i="6"/>
  <c r="F102" i="6"/>
  <c r="E102" i="6"/>
  <c r="D102" i="6"/>
  <c r="C102" i="6"/>
  <c r="B102" i="6"/>
  <c r="A102" i="6"/>
  <c r="L101" i="6"/>
  <c r="K101" i="6"/>
  <c r="J101" i="6"/>
  <c r="I101" i="6"/>
  <c r="H101" i="6"/>
  <c r="G101" i="6"/>
  <c r="F101" i="6"/>
  <c r="E101" i="6"/>
  <c r="D101" i="6"/>
  <c r="C101" i="6"/>
  <c r="B101" i="6"/>
  <c r="A101" i="6"/>
  <c r="L100" i="6"/>
  <c r="K100" i="6"/>
  <c r="J100" i="6"/>
  <c r="I100" i="6"/>
  <c r="H100" i="6"/>
  <c r="G100" i="6"/>
  <c r="F100" i="6"/>
  <c r="E100" i="6"/>
  <c r="D100" i="6"/>
  <c r="C100" i="6"/>
  <c r="B100" i="6"/>
  <c r="A100" i="6"/>
  <c r="L99" i="6"/>
  <c r="K99" i="6"/>
  <c r="J99" i="6"/>
  <c r="I99" i="6"/>
  <c r="H99" i="6"/>
  <c r="G99" i="6"/>
  <c r="F99" i="6"/>
  <c r="E99" i="6"/>
  <c r="D99" i="6"/>
  <c r="C99" i="6"/>
  <c r="B99" i="6"/>
  <c r="A99" i="6"/>
  <c r="L98" i="6"/>
  <c r="K98" i="6"/>
  <c r="J98" i="6"/>
  <c r="I98" i="6"/>
  <c r="H98" i="6"/>
  <c r="G98" i="6"/>
  <c r="F98" i="6"/>
  <c r="E98" i="6"/>
  <c r="D98" i="6"/>
  <c r="C98" i="6"/>
  <c r="B98" i="6"/>
  <c r="A98" i="6"/>
  <c r="L97" i="6"/>
  <c r="K97" i="6"/>
  <c r="J97" i="6"/>
  <c r="I97" i="6"/>
  <c r="H97" i="6"/>
  <c r="G97" i="6"/>
  <c r="F97" i="6"/>
  <c r="E97" i="6"/>
  <c r="D97" i="6"/>
  <c r="C97" i="6"/>
  <c r="B97" i="6"/>
  <c r="A97" i="6"/>
  <c r="L96" i="6"/>
  <c r="K96" i="6"/>
  <c r="J96" i="6"/>
  <c r="I96" i="6"/>
  <c r="H96" i="6"/>
  <c r="G96" i="6"/>
  <c r="F96" i="6"/>
  <c r="E96" i="6"/>
  <c r="D96" i="6"/>
  <c r="C96" i="6"/>
  <c r="B96" i="6"/>
  <c r="A96" i="6"/>
  <c r="L95" i="6"/>
  <c r="K95" i="6"/>
  <c r="J95" i="6"/>
  <c r="I95" i="6"/>
  <c r="H95" i="6"/>
  <c r="G95" i="6"/>
  <c r="F95" i="6"/>
  <c r="E95" i="6"/>
  <c r="D95" i="6"/>
  <c r="C95" i="6"/>
  <c r="B95" i="6"/>
  <c r="A95" i="6"/>
  <c r="L94" i="6"/>
  <c r="K94" i="6"/>
  <c r="J94" i="6"/>
  <c r="I94" i="6"/>
  <c r="H94" i="6"/>
  <c r="G94" i="6"/>
  <c r="F94" i="6"/>
  <c r="E94" i="6"/>
  <c r="D94" i="6"/>
  <c r="C94" i="6"/>
  <c r="B94" i="6"/>
  <c r="A94" i="6"/>
  <c r="L93" i="6"/>
  <c r="K93" i="6"/>
  <c r="J93" i="6"/>
  <c r="I93" i="6"/>
  <c r="H93" i="6"/>
  <c r="G93" i="6"/>
  <c r="F93" i="6"/>
  <c r="E93" i="6"/>
  <c r="D93" i="6"/>
  <c r="C93" i="6"/>
  <c r="B93" i="6"/>
  <c r="A93" i="6"/>
  <c r="L92" i="6"/>
  <c r="K92" i="6"/>
  <c r="J92" i="6"/>
  <c r="I92" i="6"/>
  <c r="H92" i="6"/>
  <c r="G92" i="6"/>
  <c r="F92" i="6"/>
  <c r="E92" i="6"/>
  <c r="D92" i="6"/>
  <c r="C92" i="6"/>
  <c r="B92" i="6"/>
  <c r="A92" i="6"/>
  <c r="L91" i="6"/>
  <c r="K91" i="6"/>
  <c r="J91" i="6"/>
  <c r="I91" i="6"/>
  <c r="H91" i="6"/>
  <c r="G91" i="6"/>
  <c r="F91" i="6"/>
  <c r="E91" i="6"/>
  <c r="D91" i="6"/>
  <c r="C91" i="6"/>
  <c r="B91" i="6"/>
  <c r="A91" i="6"/>
  <c r="L90" i="6"/>
  <c r="K90" i="6"/>
  <c r="J90" i="6"/>
  <c r="I90" i="6"/>
  <c r="H90" i="6"/>
  <c r="G90" i="6"/>
  <c r="F90" i="6"/>
  <c r="E90" i="6"/>
  <c r="D90" i="6"/>
  <c r="C90" i="6"/>
  <c r="B90" i="6"/>
  <c r="A90" i="6"/>
  <c r="L89" i="6"/>
  <c r="K89" i="6"/>
  <c r="J89" i="6"/>
  <c r="I89" i="6"/>
  <c r="H89" i="6"/>
  <c r="G89" i="6"/>
  <c r="F89" i="6"/>
  <c r="E89" i="6"/>
  <c r="D89" i="6"/>
  <c r="C89" i="6"/>
  <c r="B89" i="6"/>
  <c r="A89" i="6"/>
  <c r="L88" i="6"/>
  <c r="K88" i="6"/>
  <c r="J88" i="6"/>
  <c r="I88" i="6"/>
  <c r="H88" i="6"/>
  <c r="G88" i="6"/>
  <c r="F88" i="6"/>
  <c r="E88" i="6"/>
  <c r="D88" i="6"/>
  <c r="C88" i="6"/>
  <c r="B88" i="6"/>
  <c r="A88" i="6"/>
  <c r="L87" i="6"/>
  <c r="K87" i="6"/>
  <c r="J87" i="6"/>
  <c r="I87" i="6"/>
  <c r="H87" i="6"/>
  <c r="G87" i="6"/>
  <c r="F87" i="6"/>
  <c r="E87" i="6"/>
  <c r="D87" i="6"/>
  <c r="C87" i="6"/>
  <c r="B87" i="6"/>
  <c r="A87" i="6"/>
  <c r="L86" i="6"/>
  <c r="K86" i="6"/>
  <c r="J86" i="6"/>
  <c r="I86" i="6"/>
  <c r="H86" i="6"/>
  <c r="G86" i="6"/>
  <c r="F86" i="6"/>
  <c r="E86" i="6"/>
  <c r="D86" i="6"/>
  <c r="C86" i="6"/>
  <c r="B86" i="6"/>
  <c r="A86" i="6"/>
  <c r="L85" i="6"/>
  <c r="K85" i="6"/>
  <c r="J85" i="6"/>
  <c r="I85" i="6"/>
  <c r="H85" i="6"/>
  <c r="G85" i="6"/>
  <c r="F85" i="6"/>
  <c r="E85" i="6"/>
  <c r="D85" i="6"/>
  <c r="C85" i="6"/>
  <c r="B85" i="6"/>
  <c r="A85" i="6"/>
  <c r="L84" i="6"/>
  <c r="K84" i="6"/>
  <c r="J84" i="6"/>
  <c r="I84" i="6"/>
  <c r="H84" i="6"/>
  <c r="G84" i="6"/>
  <c r="F84" i="6"/>
  <c r="E84" i="6"/>
  <c r="D84" i="6"/>
  <c r="C84" i="6"/>
  <c r="B84" i="6"/>
  <c r="A84" i="6"/>
  <c r="L83" i="6"/>
  <c r="K83" i="6"/>
  <c r="J83" i="6"/>
  <c r="I83" i="6"/>
  <c r="H83" i="6"/>
  <c r="G83" i="6"/>
  <c r="F83" i="6"/>
  <c r="E83" i="6"/>
  <c r="D83" i="6"/>
  <c r="C83" i="6"/>
  <c r="B83" i="6"/>
  <c r="A83" i="6"/>
  <c r="L82" i="6"/>
  <c r="K82" i="6"/>
  <c r="J82" i="6"/>
  <c r="I82" i="6"/>
  <c r="H82" i="6"/>
  <c r="G82" i="6"/>
  <c r="F82" i="6"/>
  <c r="E82" i="6"/>
  <c r="D82" i="6"/>
  <c r="C82" i="6"/>
  <c r="B82" i="6"/>
  <c r="A82" i="6"/>
  <c r="L81" i="6"/>
  <c r="K81" i="6"/>
  <c r="J81" i="6"/>
  <c r="I81" i="6"/>
  <c r="H81" i="6"/>
  <c r="G81" i="6"/>
  <c r="F81" i="6"/>
  <c r="E81" i="6"/>
  <c r="D81" i="6"/>
  <c r="C81" i="6"/>
  <c r="B81" i="6"/>
  <c r="A81" i="6"/>
  <c r="L80" i="6"/>
  <c r="K80" i="6"/>
  <c r="J80" i="6"/>
  <c r="I80" i="6"/>
  <c r="H80" i="6"/>
  <c r="G80" i="6"/>
  <c r="F80" i="6"/>
  <c r="E80" i="6"/>
  <c r="D80" i="6"/>
  <c r="C80" i="6"/>
  <c r="B80" i="6"/>
  <c r="A80" i="6"/>
  <c r="L79" i="6"/>
  <c r="K79" i="6"/>
  <c r="J79" i="6"/>
  <c r="I79" i="6"/>
  <c r="H79" i="6"/>
  <c r="G79" i="6"/>
  <c r="F79" i="6"/>
  <c r="E79" i="6"/>
  <c r="D79" i="6"/>
  <c r="C79" i="6"/>
  <c r="B79" i="6"/>
  <c r="A79" i="6"/>
  <c r="L78" i="6"/>
  <c r="K78" i="6"/>
  <c r="J78" i="6"/>
  <c r="I78" i="6"/>
  <c r="H78" i="6"/>
  <c r="G78" i="6"/>
  <c r="F78" i="6"/>
  <c r="E78" i="6"/>
  <c r="D78" i="6"/>
  <c r="C78" i="6"/>
  <c r="B78" i="6"/>
  <c r="A78" i="6"/>
  <c r="L77" i="6"/>
  <c r="K77" i="6"/>
  <c r="J77" i="6"/>
  <c r="I77" i="6"/>
  <c r="H77" i="6"/>
  <c r="G77" i="6"/>
  <c r="F77" i="6"/>
  <c r="E77" i="6"/>
  <c r="D77" i="6"/>
  <c r="C77" i="6"/>
  <c r="B77" i="6"/>
  <c r="A77" i="6"/>
  <c r="L76" i="6"/>
  <c r="K76" i="6"/>
  <c r="J76" i="6"/>
  <c r="I76" i="6"/>
  <c r="H76" i="6"/>
  <c r="G76" i="6"/>
  <c r="F76" i="6"/>
  <c r="E76" i="6"/>
  <c r="D76" i="6"/>
  <c r="C76" i="6"/>
  <c r="B76" i="6"/>
  <c r="A76" i="6"/>
  <c r="L75" i="6"/>
  <c r="K75" i="6"/>
  <c r="J75" i="6"/>
  <c r="I75" i="6"/>
  <c r="H75" i="6"/>
  <c r="G75" i="6"/>
  <c r="F75" i="6"/>
  <c r="E75" i="6"/>
  <c r="D75" i="6"/>
  <c r="C75" i="6"/>
  <c r="B75" i="6"/>
  <c r="A75" i="6"/>
  <c r="L74" i="6"/>
  <c r="K74" i="6"/>
  <c r="J74" i="6"/>
  <c r="I74" i="6"/>
  <c r="H74" i="6"/>
  <c r="G74" i="6"/>
  <c r="F74" i="6"/>
  <c r="E74" i="6"/>
  <c r="D74" i="6"/>
  <c r="C74" i="6"/>
  <c r="B74" i="6"/>
  <c r="A74" i="6"/>
  <c r="L73" i="6"/>
  <c r="K73" i="6"/>
  <c r="J73" i="6"/>
  <c r="I73" i="6"/>
  <c r="H73" i="6"/>
  <c r="G73" i="6"/>
  <c r="F73" i="6"/>
  <c r="E73" i="6"/>
  <c r="D73" i="6"/>
  <c r="C73" i="6"/>
  <c r="B73" i="6"/>
  <c r="A73" i="6"/>
  <c r="L72" i="6"/>
  <c r="K72" i="6"/>
  <c r="J72" i="6"/>
  <c r="I72" i="6"/>
  <c r="H72" i="6"/>
  <c r="G72" i="6"/>
  <c r="F72" i="6"/>
  <c r="E72" i="6"/>
  <c r="D72" i="6"/>
  <c r="C72" i="6"/>
  <c r="B72" i="6"/>
  <c r="A72" i="6"/>
  <c r="L71" i="6"/>
  <c r="K71" i="6"/>
  <c r="J71" i="6"/>
  <c r="I71" i="6"/>
  <c r="H71" i="6"/>
  <c r="G71" i="6"/>
  <c r="F71" i="6"/>
  <c r="E71" i="6"/>
  <c r="D71" i="6"/>
  <c r="C71" i="6"/>
  <c r="B71" i="6"/>
  <c r="A71" i="6"/>
  <c r="L70" i="6"/>
  <c r="K70" i="6"/>
  <c r="J70" i="6"/>
  <c r="I70" i="6"/>
  <c r="H70" i="6"/>
  <c r="G70" i="6"/>
  <c r="F70" i="6"/>
  <c r="E70" i="6"/>
  <c r="D70" i="6"/>
  <c r="C70" i="6"/>
  <c r="B70" i="6"/>
  <c r="A70" i="6"/>
  <c r="L69" i="6"/>
  <c r="K69" i="6"/>
  <c r="J69" i="6"/>
  <c r="I69" i="6"/>
  <c r="H69" i="6"/>
  <c r="G69" i="6"/>
  <c r="F69" i="6"/>
  <c r="E69" i="6"/>
  <c r="D69" i="6"/>
  <c r="C69" i="6"/>
  <c r="B69" i="6"/>
  <c r="A69" i="6"/>
  <c r="L68" i="6"/>
  <c r="K68" i="6"/>
  <c r="J68" i="6"/>
  <c r="I68" i="6"/>
  <c r="H68" i="6"/>
  <c r="G68" i="6"/>
  <c r="F68" i="6"/>
  <c r="E68" i="6"/>
  <c r="D68" i="6"/>
  <c r="C68" i="6"/>
  <c r="B68" i="6"/>
  <c r="A68" i="6"/>
  <c r="L67" i="6"/>
  <c r="K67" i="6"/>
  <c r="J67" i="6"/>
  <c r="I67" i="6"/>
  <c r="H67" i="6"/>
  <c r="G67" i="6"/>
  <c r="F67" i="6"/>
  <c r="E67" i="6"/>
  <c r="D67" i="6"/>
  <c r="C67" i="6"/>
  <c r="B67" i="6"/>
  <c r="A67" i="6"/>
  <c r="L66" i="6"/>
  <c r="K66" i="6"/>
  <c r="J66" i="6"/>
  <c r="I66" i="6"/>
  <c r="H66" i="6"/>
  <c r="G66" i="6"/>
  <c r="F66" i="6"/>
  <c r="E66" i="6"/>
  <c r="D66" i="6"/>
  <c r="C66" i="6"/>
  <c r="B66" i="6"/>
  <c r="A66" i="6"/>
  <c r="L65" i="6"/>
  <c r="K65" i="6"/>
  <c r="J65" i="6"/>
  <c r="I65" i="6"/>
  <c r="H65" i="6"/>
  <c r="G65" i="6"/>
  <c r="F65" i="6"/>
  <c r="E65" i="6"/>
  <c r="D65" i="6"/>
  <c r="C65" i="6"/>
  <c r="B65" i="6"/>
  <c r="A65" i="6"/>
  <c r="L64" i="6"/>
  <c r="K64" i="6"/>
  <c r="J64" i="6"/>
  <c r="I64" i="6"/>
  <c r="H64" i="6"/>
  <c r="G64" i="6"/>
  <c r="F64" i="6"/>
  <c r="E64" i="6"/>
  <c r="D64" i="6"/>
  <c r="C64" i="6"/>
  <c r="B64" i="6"/>
  <c r="A64" i="6"/>
  <c r="L63" i="6"/>
  <c r="K63" i="6"/>
  <c r="J63" i="6"/>
  <c r="I63" i="6"/>
  <c r="H63" i="6"/>
  <c r="G63" i="6"/>
  <c r="F63" i="6"/>
  <c r="E63" i="6"/>
  <c r="D63" i="6"/>
  <c r="C63" i="6"/>
  <c r="B63" i="6"/>
  <c r="A63" i="6"/>
  <c r="L62" i="6"/>
  <c r="K62" i="6"/>
  <c r="J62" i="6"/>
  <c r="I62" i="6"/>
  <c r="H62" i="6"/>
  <c r="G62" i="6"/>
  <c r="F62" i="6"/>
  <c r="E62" i="6"/>
  <c r="D62" i="6"/>
  <c r="C62" i="6"/>
  <c r="B62" i="6"/>
  <c r="A62" i="6"/>
  <c r="L61" i="6"/>
  <c r="K61" i="6"/>
  <c r="J61" i="6"/>
  <c r="I61" i="6"/>
  <c r="H61" i="6"/>
  <c r="G61" i="6"/>
  <c r="F61" i="6"/>
  <c r="E61" i="6"/>
  <c r="D61" i="6"/>
  <c r="C61" i="6"/>
  <c r="B61" i="6"/>
  <c r="A61" i="6"/>
  <c r="L60" i="6"/>
  <c r="K60" i="6"/>
  <c r="J60" i="6"/>
  <c r="I60" i="6"/>
  <c r="H60" i="6"/>
  <c r="G60" i="6"/>
  <c r="F60" i="6"/>
  <c r="E60" i="6"/>
  <c r="D60" i="6"/>
  <c r="C60" i="6"/>
  <c r="B60" i="6"/>
  <c r="A60" i="6"/>
  <c r="L59" i="6"/>
  <c r="K59" i="6"/>
  <c r="J59" i="6"/>
  <c r="I59" i="6"/>
  <c r="H59" i="6"/>
  <c r="G59" i="6"/>
  <c r="F59" i="6"/>
  <c r="E59" i="6"/>
  <c r="D59" i="6"/>
  <c r="C59" i="6"/>
  <c r="B59" i="6"/>
  <c r="A59" i="6"/>
  <c r="L58" i="6"/>
  <c r="K58" i="6"/>
  <c r="J58" i="6"/>
  <c r="I58" i="6"/>
  <c r="H58" i="6"/>
  <c r="G58" i="6"/>
  <c r="F58" i="6"/>
  <c r="E58" i="6"/>
  <c r="D58" i="6"/>
  <c r="C58" i="6"/>
  <c r="B58" i="6"/>
  <c r="A58" i="6"/>
  <c r="L57" i="6"/>
  <c r="K57" i="6"/>
  <c r="J57" i="6"/>
  <c r="I57" i="6"/>
  <c r="H57" i="6"/>
  <c r="G57" i="6"/>
  <c r="F57" i="6"/>
  <c r="E57" i="6"/>
  <c r="D57" i="6"/>
  <c r="C57" i="6"/>
  <c r="B57" i="6"/>
  <c r="A57" i="6"/>
  <c r="L56" i="6"/>
  <c r="K56" i="6"/>
  <c r="J56" i="6"/>
  <c r="I56" i="6"/>
  <c r="H56" i="6"/>
  <c r="G56" i="6"/>
  <c r="F56" i="6"/>
  <c r="E56" i="6"/>
  <c r="D56" i="6"/>
  <c r="C56" i="6"/>
  <c r="B56" i="6"/>
  <c r="A56" i="6"/>
  <c r="L55" i="6"/>
  <c r="K55" i="6"/>
  <c r="J55" i="6"/>
  <c r="I55" i="6"/>
  <c r="H55" i="6"/>
  <c r="G55" i="6"/>
  <c r="F55" i="6"/>
  <c r="E55" i="6"/>
  <c r="D55" i="6"/>
  <c r="C55" i="6"/>
  <c r="B55" i="6"/>
  <c r="A55" i="6"/>
  <c r="L54" i="6"/>
  <c r="K54" i="6"/>
  <c r="J54" i="6"/>
  <c r="I54" i="6"/>
  <c r="H54" i="6"/>
  <c r="G54" i="6"/>
  <c r="F54" i="6"/>
  <c r="E54" i="6"/>
  <c r="D54" i="6"/>
  <c r="C54" i="6"/>
  <c r="B54" i="6"/>
  <c r="A54" i="6"/>
  <c r="L53" i="6"/>
  <c r="K53" i="6"/>
  <c r="J53" i="6"/>
  <c r="I53" i="6"/>
  <c r="H53" i="6"/>
  <c r="G53" i="6"/>
  <c r="F53" i="6"/>
  <c r="E53" i="6"/>
  <c r="D53" i="6"/>
  <c r="C53" i="6"/>
  <c r="B53" i="6"/>
  <c r="A53" i="6"/>
  <c r="L52" i="6"/>
  <c r="K52" i="6"/>
  <c r="J52" i="6"/>
  <c r="I52" i="6"/>
  <c r="H52" i="6"/>
  <c r="G52" i="6"/>
  <c r="F52" i="6"/>
  <c r="E52" i="6"/>
  <c r="D52" i="6"/>
  <c r="C52" i="6"/>
  <c r="B52" i="6"/>
  <c r="A52" i="6"/>
  <c r="L51" i="6"/>
  <c r="K51" i="6"/>
  <c r="J51" i="6"/>
  <c r="I51" i="6"/>
  <c r="H51" i="6"/>
  <c r="G51" i="6"/>
  <c r="F51" i="6"/>
  <c r="E51" i="6"/>
  <c r="D51" i="6"/>
  <c r="C51" i="6"/>
  <c r="B51" i="6"/>
  <c r="A51" i="6"/>
  <c r="L50" i="6"/>
  <c r="K50" i="6"/>
  <c r="J50" i="6"/>
  <c r="I50" i="6"/>
  <c r="H50" i="6"/>
  <c r="G50" i="6"/>
  <c r="F50" i="6"/>
  <c r="E50" i="6"/>
  <c r="D50" i="6"/>
  <c r="C50" i="6"/>
  <c r="B50" i="6"/>
  <c r="A50" i="6"/>
  <c r="L49" i="6"/>
  <c r="K49" i="6"/>
  <c r="J49" i="6"/>
  <c r="I49" i="6"/>
  <c r="H49" i="6"/>
  <c r="G49" i="6"/>
  <c r="F49" i="6"/>
  <c r="E49" i="6"/>
  <c r="D49" i="6"/>
  <c r="C49" i="6"/>
  <c r="B49" i="6"/>
  <c r="A49" i="6"/>
  <c r="L48" i="6"/>
  <c r="K48" i="6"/>
  <c r="J48" i="6"/>
  <c r="I48" i="6"/>
  <c r="H48" i="6"/>
  <c r="G48" i="6"/>
  <c r="F48" i="6"/>
  <c r="E48" i="6"/>
  <c r="D48" i="6"/>
  <c r="C48" i="6"/>
  <c r="B48" i="6"/>
  <c r="A48" i="6"/>
  <c r="L47" i="6"/>
  <c r="K47" i="6"/>
  <c r="J47" i="6"/>
  <c r="I47" i="6"/>
  <c r="H47" i="6"/>
  <c r="G47" i="6"/>
  <c r="F47" i="6"/>
  <c r="E47" i="6"/>
  <c r="D47" i="6"/>
  <c r="C47" i="6"/>
  <c r="B47" i="6"/>
  <c r="A47" i="6"/>
  <c r="L46" i="6"/>
  <c r="K46" i="6"/>
  <c r="J46" i="6"/>
  <c r="I46" i="6"/>
  <c r="H46" i="6"/>
  <c r="G46" i="6"/>
  <c r="F46" i="6"/>
  <c r="E46" i="6"/>
  <c r="D46" i="6"/>
  <c r="C46" i="6"/>
  <c r="B46" i="6"/>
  <c r="A46" i="6"/>
  <c r="L45" i="6"/>
  <c r="K45" i="6"/>
  <c r="J45" i="6"/>
  <c r="I45" i="6"/>
  <c r="H45" i="6"/>
  <c r="G45" i="6"/>
  <c r="F45" i="6"/>
  <c r="E45" i="6"/>
  <c r="D45" i="6"/>
  <c r="C45" i="6"/>
  <c r="B45" i="6"/>
  <c r="A45" i="6"/>
  <c r="L44" i="6"/>
  <c r="K44" i="6"/>
  <c r="J44" i="6"/>
  <c r="I44" i="6"/>
  <c r="H44" i="6"/>
  <c r="G44" i="6"/>
  <c r="F44" i="6"/>
  <c r="E44" i="6"/>
  <c r="D44" i="6"/>
  <c r="C44" i="6"/>
  <c r="B44" i="6"/>
  <c r="A44" i="6"/>
  <c r="L43" i="6"/>
  <c r="K43" i="6"/>
  <c r="J43" i="6"/>
  <c r="I43" i="6"/>
  <c r="H43" i="6"/>
  <c r="G43" i="6"/>
  <c r="F43" i="6"/>
  <c r="E43" i="6"/>
  <c r="D43" i="6"/>
  <c r="C43" i="6"/>
  <c r="B43" i="6"/>
  <c r="A43" i="6"/>
  <c r="L42" i="6"/>
  <c r="K42" i="6"/>
  <c r="J42" i="6"/>
  <c r="I42" i="6"/>
  <c r="H42" i="6"/>
  <c r="G42" i="6"/>
  <c r="F42" i="6"/>
  <c r="E42" i="6"/>
  <c r="D42" i="6"/>
  <c r="C42" i="6"/>
  <c r="B42" i="6"/>
  <c r="A42" i="6"/>
  <c r="L41" i="6"/>
  <c r="K41" i="6"/>
  <c r="J41" i="6"/>
  <c r="I41" i="6"/>
  <c r="H41" i="6"/>
  <c r="G41" i="6"/>
  <c r="F41" i="6"/>
  <c r="E41" i="6"/>
  <c r="D41" i="6"/>
  <c r="C41" i="6"/>
  <c r="B41" i="6"/>
  <c r="A41" i="6"/>
  <c r="L40" i="6"/>
  <c r="K40" i="6"/>
  <c r="J40" i="6"/>
  <c r="I40" i="6"/>
  <c r="H40" i="6"/>
  <c r="G40" i="6"/>
  <c r="F40" i="6"/>
  <c r="E40" i="6"/>
  <c r="D40" i="6"/>
  <c r="C40" i="6"/>
  <c r="B40" i="6"/>
  <c r="A40" i="6"/>
  <c r="L39" i="6"/>
  <c r="K39" i="6"/>
  <c r="J39" i="6"/>
  <c r="I39" i="6"/>
  <c r="H39" i="6"/>
  <c r="G39" i="6"/>
  <c r="F39" i="6"/>
  <c r="E39" i="6"/>
  <c r="D39" i="6"/>
  <c r="C39" i="6"/>
  <c r="B39" i="6"/>
  <c r="A39" i="6"/>
  <c r="L38" i="6"/>
  <c r="K38" i="6"/>
  <c r="J38" i="6"/>
  <c r="I38" i="6"/>
  <c r="H38" i="6"/>
  <c r="G38" i="6"/>
  <c r="F38" i="6"/>
  <c r="E38" i="6"/>
  <c r="D38" i="6"/>
  <c r="C38" i="6"/>
  <c r="B38" i="6"/>
  <c r="A38" i="6"/>
  <c r="L37" i="6"/>
  <c r="K37" i="6"/>
  <c r="J37" i="6"/>
  <c r="I37" i="6"/>
  <c r="H37" i="6"/>
  <c r="G37" i="6"/>
  <c r="F37" i="6"/>
  <c r="E37" i="6"/>
  <c r="D37" i="6"/>
  <c r="C37" i="6"/>
  <c r="B37" i="6"/>
  <c r="A37" i="6"/>
  <c r="L36" i="6"/>
  <c r="K36" i="6"/>
  <c r="J36" i="6"/>
  <c r="I36" i="6"/>
  <c r="H36" i="6"/>
  <c r="G36" i="6"/>
  <c r="F36" i="6"/>
  <c r="E36" i="6"/>
  <c r="D36" i="6"/>
  <c r="C36" i="6"/>
  <c r="B36" i="6"/>
  <c r="A36" i="6"/>
  <c r="L35" i="6"/>
  <c r="K35" i="6"/>
  <c r="J35" i="6"/>
  <c r="I35" i="6"/>
  <c r="H35" i="6"/>
  <c r="G35" i="6"/>
  <c r="F35" i="6"/>
  <c r="E35" i="6"/>
  <c r="D35" i="6"/>
  <c r="C35" i="6"/>
  <c r="B35" i="6"/>
  <c r="A35" i="6"/>
  <c r="L34" i="6"/>
  <c r="K34" i="6"/>
  <c r="J34" i="6"/>
  <c r="I34" i="6"/>
  <c r="H34" i="6"/>
  <c r="G34" i="6"/>
  <c r="F34" i="6"/>
  <c r="E34" i="6"/>
  <c r="D34" i="6"/>
  <c r="C34" i="6"/>
  <c r="B34" i="6"/>
  <c r="A34" i="6"/>
  <c r="L33" i="6"/>
  <c r="K33" i="6"/>
  <c r="J33" i="6"/>
  <c r="I33" i="6"/>
  <c r="H33" i="6"/>
  <c r="G33" i="6"/>
  <c r="F33" i="6"/>
  <c r="E33" i="6"/>
  <c r="D33" i="6"/>
  <c r="C33" i="6"/>
  <c r="B33" i="6"/>
  <c r="A33" i="6"/>
  <c r="L32" i="6"/>
  <c r="K32" i="6"/>
  <c r="J32" i="6"/>
  <c r="I32" i="6"/>
  <c r="H32" i="6"/>
  <c r="G32" i="6"/>
  <c r="F32" i="6"/>
  <c r="E32" i="6"/>
  <c r="D32" i="6"/>
  <c r="C32" i="6"/>
  <c r="B32" i="6"/>
  <c r="A32" i="6"/>
  <c r="L31" i="6"/>
  <c r="K31" i="6"/>
  <c r="J31" i="6"/>
  <c r="I31" i="6"/>
  <c r="H31" i="6"/>
  <c r="G31" i="6"/>
  <c r="F31" i="6"/>
  <c r="E31" i="6"/>
  <c r="D31" i="6"/>
  <c r="C31" i="6"/>
  <c r="B31" i="6"/>
  <c r="A31" i="6"/>
  <c r="L30" i="6"/>
  <c r="K30" i="6"/>
  <c r="J30" i="6"/>
  <c r="I30" i="6"/>
  <c r="H30" i="6"/>
  <c r="G30" i="6"/>
  <c r="F30" i="6"/>
  <c r="E30" i="6"/>
  <c r="D30" i="6"/>
  <c r="C30" i="6"/>
  <c r="B30" i="6"/>
  <c r="A30" i="6"/>
  <c r="L29" i="6"/>
  <c r="K29" i="6"/>
  <c r="J29" i="6"/>
  <c r="I29" i="6"/>
  <c r="H29" i="6"/>
  <c r="G29" i="6"/>
  <c r="F29" i="6"/>
  <c r="E29" i="6"/>
  <c r="D29" i="6"/>
  <c r="C29" i="6"/>
  <c r="B29" i="6"/>
  <c r="A29" i="6"/>
  <c r="L28" i="6"/>
  <c r="K28" i="6"/>
  <c r="J28" i="6"/>
  <c r="I28" i="6"/>
  <c r="H28" i="6"/>
  <c r="G28" i="6"/>
  <c r="F28" i="6"/>
  <c r="E28" i="6"/>
  <c r="D28" i="6"/>
  <c r="C28" i="6"/>
  <c r="B28" i="6"/>
  <c r="A28" i="6"/>
  <c r="L27" i="6"/>
  <c r="K27" i="6"/>
  <c r="J27" i="6"/>
  <c r="I27" i="6"/>
  <c r="H27" i="6"/>
  <c r="G27" i="6"/>
  <c r="F27" i="6"/>
  <c r="E27" i="6"/>
  <c r="D27" i="6"/>
  <c r="C27" i="6"/>
  <c r="B27" i="6"/>
  <c r="A27" i="6"/>
  <c r="L26" i="6"/>
  <c r="K26" i="6"/>
  <c r="J26" i="6"/>
  <c r="I26" i="6"/>
  <c r="H26" i="6"/>
  <c r="G26" i="6"/>
  <c r="F26" i="6"/>
  <c r="E26" i="6"/>
  <c r="D26" i="6"/>
  <c r="C26" i="6"/>
  <c r="B26" i="6"/>
  <c r="A26" i="6"/>
  <c r="L25" i="6"/>
  <c r="K25" i="6"/>
  <c r="J25" i="6"/>
  <c r="I25" i="6"/>
  <c r="H25" i="6"/>
  <c r="G25" i="6"/>
  <c r="F25" i="6"/>
  <c r="E25" i="6"/>
  <c r="D25" i="6"/>
  <c r="C25" i="6"/>
  <c r="B25" i="6"/>
  <c r="A25" i="6"/>
  <c r="L24" i="6"/>
  <c r="K24" i="6"/>
  <c r="J24" i="6"/>
  <c r="I24" i="6"/>
  <c r="H24" i="6"/>
  <c r="G24" i="6"/>
  <c r="F24" i="6"/>
  <c r="E24" i="6"/>
  <c r="D24" i="6"/>
  <c r="C24" i="6"/>
  <c r="B24" i="6"/>
  <c r="A24" i="6"/>
  <c r="L23" i="6"/>
  <c r="K23" i="6"/>
  <c r="J23" i="6"/>
  <c r="I23" i="6"/>
  <c r="H23" i="6"/>
  <c r="G23" i="6"/>
  <c r="F23" i="6"/>
  <c r="E23" i="6"/>
  <c r="D23" i="6"/>
  <c r="C23" i="6"/>
  <c r="B23" i="6"/>
  <c r="A23" i="6"/>
  <c r="L22" i="6"/>
  <c r="K22" i="6"/>
  <c r="J22" i="6"/>
  <c r="I22" i="6"/>
  <c r="H22" i="6"/>
  <c r="G22" i="6"/>
  <c r="F22" i="6"/>
  <c r="E22" i="6"/>
  <c r="D22" i="6"/>
  <c r="C22" i="6"/>
  <c r="B22" i="6"/>
  <c r="A22" i="6"/>
  <c r="L21" i="6"/>
  <c r="K21" i="6"/>
  <c r="J21" i="6"/>
  <c r="I21" i="6"/>
  <c r="H21" i="6"/>
  <c r="G21" i="6"/>
  <c r="F21" i="6"/>
  <c r="E21" i="6"/>
  <c r="D21" i="6"/>
  <c r="C21" i="6"/>
  <c r="B21" i="6"/>
  <c r="A21" i="6"/>
  <c r="L20" i="6"/>
  <c r="K20" i="6"/>
  <c r="J20" i="6"/>
  <c r="I20" i="6"/>
  <c r="H20" i="6"/>
  <c r="G20" i="6"/>
  <c r="F20" i="6"/>
  <c r="E20" i="6"/>
  <c r="D20" i="6"/>
  <c r="C20" i="6"/>
  <c r="B20" i="6"/>
  <c r="A20" i="6"/>
  <c r="L19" i="6"/>
  <c r="K19" i="6"/>
  <c r="J19" i="6"/>
  <c r="I19" i="6"/>
  <c r="H19" i="6"/>
  <c r="G19" i="6"/>
  <c r="F19" i="6"/>
  <c r="E19" i="6"/>
  <c r="D19" i="6"/>
  <c r="C19" i="6"/>
  <c r="B19" i="6"/>
  <c r="A19" i="6"/>
  <c r="L18" i="6"/>
  <c r="K18" i="6"/>
  <c r="J18" i="6"/>
  <c r="I18" i="6"/>
  <c r="H18" i="6"/>
  <c r="G18" i="6"/>
  <c r="F18" i="6"/>
  <c r="E18" i="6"/>
  <c r="D18" i="6"/>
  <c r="C18" i="6"/>
  <c r="B18" i="6"/>
  <c r="A18" i="6"/>
  <c r="L17" i="6"/>
  <c r="K17" i="6"/>
  <c r="J17" i="6"/>
  <c r="I17" i="6"/>
  <c r="H17" i="6"/>
  <c r="G17" i="6"/>
  <c r="F17" i="6"/>
  <c r="E17" i="6"/>
  <c r="D17" i="6"/>
  <c r="C17" i="6"/>
  <c r="B17" i="6"/>
  <c r="A17" i="6"/>
  <c r="L16" i="6"/>
  <c r="K16" i="6"/>
  <c r="J16" i="6"/>
  <c r="I16" i="6"/>
  <c r="H16" i="6"/>
  <c r="G16" i="6"/>
  <c r="F16" i="6"/>
  <c r="E16" i="6"/>
  <c r="D16" i="6"/>
  <c r="C16" i="6"/>
  <c r="B16" i="6"/>
  <c r="A16" i="6"/>
  <c r="L15" i="6"/>
  <c r="K15" i="6"/>
  <c r="J15" i="6"/>
  <c r="I15" i="6"/>
  <c r="H15" i="6"/>
  <c r="G15" i="6"/>
  <c r="F15" i="6"/>
  <c r="E15" i="6"/>
  <c r="D15" i="6"/>
  <c r="C15" i="6"/>
  <c r="B15" i="6"/>
  <c r="A15" i="6"/>
  <c r="L14" i="6"/>
  <c r="K14" i="6"/>
  <c r="J14" i="6"/>
  <c r="I14" i="6"/>
  <c r="H14" i="6"/>
  <c r="G14" i="6"/>
  <c r="F14" i="6"/>
  <c r="E14" i="6"/>
  <c r="D14" i="6"/>
  <c r="C14" i="6"/>
  <c r="B14" i="6"/>
  <c r="A14" i="6"/>
  <c r="L13" i="6"/>
  <c r="K13" i="6"/>
  <c r="J13" i="6"/>
  <c r="I13" i="6"/>
  <c r="H13" i="6"/>
  <c r="G13" i="6"/>
  <c r="F13" i="6"/>
  <c r="E13" i="6"/>
  <c r="D13" i="6"/>
  <c r="C13" i="6"/>
  <c r="B13" i="6"/>
  <c r="A13" i="6"/>
  <c r="L12" i="6"/>
  <c r="K12" i="6"/>
  <c r="J12" i="6"/>
  <c r="I12" i="6"/>
  <c r="H12" i="6"/>
  <c r="G12" i="6"/>
  <c r="F12" i="6"/>
  <c r="E12" i="6"/>
  <c r="D12" i="6"/>
  <c r="C12" i="6"/>
  <c r="B12" i="6"/>
  <c r="A12" i="6"/>
  <c r="L11" i="6"/>
  <c r="K11" i="6"/>
  <c r="J11" i="6"/>
  <c r="I11" i="6"/>
  <c r="H11" i="6"/>
  <c r="G11" i="6"/>
  <c r="F11" i="6"/>
  <c r="E11" i="6"/>
  <c r="D11" i="6"/>
  <c r="C11" i="6"/>
  <c r="B11" i="6"/>
  <c r="A11" i="6"/>
  <c r="L10" i="6"/>
  <c r="K10" i="6"/>
  <c r="J10" i="6"/>
  <c r="I10" i="6"/>
  <c r="H10" i="6"/>
  <c r="G10" i="6"/>
  <c r="F10" i="6"/>
  <c r="E10" i="6"/>
  <c r="D10" i="6"/>
  <c r="C10" i="6"/>
  <c r="B10" i="6"/>
  <c r="A10" i="6"/>
  <c r="L9" i="6"/>
  <c r="K9" i="6"/>
  <c r="J9" i="6"/>
  <c r="I9" i="6"/>
  <c r="H9" i="6"/>
  <c r="G9" i="6"/>
  <c r="F9" i="6"/>
  <c r="E9" i="6"/>
  <c r="D9" i="6"/>
  <c r="C9" i="6"/>
  <c r="B9" i="6"/>
  <c r="A9" i="6"/>
  <c r="L8" i="6"/>
  <c r="K8" i="6"/>
  <c r="J8" i="6"/>
  <c r="I8" i="6"/>
  <c r="H8" i="6"/>
  <c r="G8" i="6"/>
  <c r="F8" i="6"/>
  <c r="E8" i="6"/>
  <c r="D8" i="6"/>
  <c r="C8" i="6"/>
  <c r="B8" i="6"/>
  <c r="A8" i="6"/>
  <c r="L7" i="6"/>
  <c r="K7" i="6"/>
  <c r="J7" i="6"/>
  <c r="I7" i="6"/>
  <c r="H7" i="6"/>
  <c r="G7" i="6"/>
  <c r="F7" i="6"/>
  <c r="E7" i="6"/>
  <c r="D7" i="6"/>
  <c r="C7" i="6"/>
  <c r="B7" i="6"/>
  <c r="A7" i="6"/>
  <c r="L6" i="6"/>
  <c r="K6" i="6"/>
  <c r="J6" i="6"/>
  <c r="I6" i="6"/>
  <c r="H6" i="6"/>
  <c r="G6" i="6"/>
  <c r="F6" i="6"/>
  <c r="E6" i="6"/>
  <c r="D6" i="6"/>
  <c r="C6" i="6"/>
  <c r="B6" i="6"/>
  <c r="A6" i="6"/>
  <c r="L5" i="6"/>
  <c r="K5" i="6"/>
  <c r="J5" i="6"/>
  <c r="I5" i="6"/>
  <c r="H5" i="6"/>
  <c r="G5" i="6"/>
  <c r="F5" i="6"/>
  <c r="E5" i="6"/>
  <c r="D5" i="6"/>
  <c r="C5" i="6"/>
  <c r="B5" i="6"/>
  <c r="A5" i="6"/>
  <c r="L4" i="6"/>
  <c r="K4" i="6"/>
  <c r="J4" i="6"/>
  <c r="I4" i="6"/>
  <c r="H4" i="6"/>
  <c r="G4" i="6"/>
  <c r="F4" i="6"/>
  <c r="E4" i="6"/>
  <c r="D4" i="6"/>
  <c r="C4" i="6"/>
  <c r="B4" i="6"/>
  <c r="A4" i="6"/>
  <c r="L3" i="6"/>
  <c r="K3" i="6"/>
  <c r="J3" i="6"/>
  <c r="I3" i="6"/>
  <c r="H3" i="6"/>
  <c r="G3" i="6"/>
  <c r="F3" i="6"/>
  <c r="E3" i="6"/>
  <c r="D3" i="6"/>
  <c r="C3" i="6"/>
  <c r="B3" i="6"/>
  <c r="A3" i="6"/>
  <c r="L2" i="6"/>
  <c r="K2" i="6"/>
  <c r="J2" i="6"/>
  <c r="I2" i="6"/>
  <c r="H2" i="6"/>
  <c r="G2" i="6"/>
  <c r="F2" i="6"/>
  <c r="E2" i="6"/>
  <c r="D2" i="6"/>
  <c r="C2" i="6"/>
  <c r="B2" i="6"/>
  <c r="A2" i="6"/>
  <c r="L1" i="6"/>
  <c r="K1" i="6"/>
  <c r="J1" i="6"/>
  <c r="I1" i="6"/>
  <c r="H1" i="6"/>
  <c r="G1" i="6"/>
  <c r="F1" i="6"/>
  <c r="E1" i="6"/>
  <c r="D1" i="6"/>
  <c r="C1" i="6"/>
  <c r="B1" i="6"/>
  <c r="A1" i="6"/>
  <c r="L136" i="5"/>
  <c r="K136" i="5"/>
  <c r="J136" i="5"/>
  <c r="I136" i="5"/>
  <c r="H136" i="5"/>
  <c r="G136" i="5"/>
  <c r="F136" i="5"/>
  <c r="E136" i="5"/>
  <c r="D136" i="5"/>
  <c r="C136" i="5"/>
  <c r="B136" i="5"/>
  <c r="A136" i="5"/>
  <c r="L135" i="5"/>
  <c r="K135" i="5"/>
  <c r="J135" i="5"/>
  <c r="I135" i="5"/>
  <c r="H135" i="5"/>
  <c r="G135" i="5"/>
  <c r="F135" i="5"/>
  <c r="E135" i="5"/>
  <c r="D135" i="5"/>
  <c r="C135" i="5"/>
  <c r="B135" i="5"/>
  <c r="A135" i="5"/>
  <c r="L134" i="5"/>
  <c r="K134" i="5"/>
  <c r="J134" i="5"/>
  <c r="I134" i="5"/>
  <c r="H134" i="5"/>
  <c r="G134" i="5"/>
  <c r="F134" i="5"/>
  <c r="E134" i="5"/>
  <c r="D134" i="5"/>
  <c r="C134" i="5"/>
  <c r="B134" i="5"/>
  <c r="A134" i="5"/>
  <c r="L133" i="5"/>
  <c r="K133" i="5"/>
  <c r="J133" i="5"/>
  <c r="I133" i="5"/>
  <c r="H133" i="5"/>
  <c r="G133" i="5"/>
  <c r="F133" i="5"/>
  <c r="E133" i="5"/>
  <c r="D133" i="5"/>
  <c r="C133" i="5"/>
  <c r="B133" i="5"/>
  <c r="A133" i="5"/>
  <c r="L132" i="5"/>
  <c r="K132" i="5"/>
  <c r="J132" i="5"/>
  <c r="I132" i="5"/>
  <c r="H132" i="5"/>
  <c r="G132" i="5"/>
  <c r="F132" i="5"/>
  <c r="E132" i="5"/>
  <c r="D132" i="5"/>
  <c r="C132" i="5"/>
  <c r="B132" i="5"/>
  <c r="A132" i="5"/>
  <c r="L131" i="5"/>
  <c r="K131" i="5"/>
  <c r="J131" i="5"/>
  <c r="I131" i="5"/>
  <c r="H131" i="5"/>
  <c r="G131" i="5"/>
  <c r="F131" i="5"/>
  <c r="E131" i="5"/>
  <c r="D131" i="5"/>
  <c r="C131" i="5"/>
  <c r="B131" i="5"/>
  <c r="A131" i="5"/>
  <c r="L130" i="5"/>
  <c r="K130" i="5"/>
  <c r="J130" i="5"/>
  <c r="I130" i="5"/>
  <c r="H130" i="5"/>
  <c r="G130" i="5"/>
  <c r="F130" i="5"/>
  <c r="E130" i="5"/>
  <c r="D130" i="5"/>
  <c r="C130" i="5"/>
  <c r="B130" i="5"/>
  <c r="A130" i="5"/>
  <c r="L129" i="5"/>
  <c r="K129" i="5"/>
  <c r="J129" i="5"/>
  <c r="I129" i="5"/>
  <c r="H129" i="5"/>
  <c r="G129" i="5"/>
  <c r="F129" i="5"/>
  <c r="E129" i="5"/>
  <c r="D129" i="5"/>
  <c r="C129" i="5"/>
  <c r="B129" i="5"/>
  <c r="A129" i="5"/>
  <c r="L128" i="5"/>
  <c r="K128" i="5"/>
  <c r="J128" i="5"/>
  <c r="I128" i="5"/>
  <c r="H128" i="5"/>
  <c r="G128" i="5"/>
  <c r="F128" i="5"/>
  <c r="E128" i="5"/>
  <c r="D128" i="5"/>
  <c r="C128" i="5"/>
  <c r="B128" i="5"/>
  <c r="A128" i="5"/>
  <c r="L127" i="5"/>
  <c r="K127" i="5"/>
  <c r="J127" i="5"/>
  <c r="I127" i="5"/>
  <c r="H127" i="5"/>
  <c r="G127" i="5"/>
  <c r="F127" i="5"/>
  <c r="E127" i="5"/>
  <c r="D127" i="5"/>
  <c r="C127" i="5"/>
  <c r="B127" i="5"/>
  <c r="A127" i="5"/>
  <c r="L126" i="5"/>
  <c r="K126" i="5"/>
  <c r="J126" i="5"/>
  <c r="I126" i="5"/>
  <c r="H126" i="5"/>
  <c r="G126" i="5"/>
  <c r="F126" i="5"/>
  <c r="E126" i="5"/>
  <c r="D126" i="5"/>
  <c r="C126" i="5"/>
  <c r="B126" i="5"/>
  <c r="A126" i="5"/>
  <c r="L125" i="5"/>
  <c r="K125" i="5"/>
  <c r="J125" i="5"/>
  <c r="I125" i="5"/>
  <c r="H125" i="5"/>
  <c r="G125" i="5"/>
  <c r="F125" i="5"/>
  <c r="E125" i="5"/>
  <c r="D125" i="5"/>
  <c r="C125" i="5"/>
  <c r="B125" i="5"/>
  <c r="A125" i="5"/>
  <c r="L124" i="5"/>
  <c r="K124" i="5"/>
  <c r="J124" i="5"/>
  <c r="I124" i="5"/>
  <c r="H124" i="5"/>
  <c r="G124" i="5"/>
  <c r="F124" i="5"/>
  <c r="E124" i="5"/>
  <c r="D124" i="5"/>
  <c r="C124" i="5"/>
  <c r="B124" i="5"/>
  <c r="A124" i="5"/>
  <c r="L123" i="5"/>
  <c r="K123" i="5"/>
  <c r="J123" i="5"/>
  <c r="I123" i="5"/>
  <c r="H123" i="5"/>
  <c r="G123" i="5"/>
  <c r="F123" i="5"/>
  <c r="E123" i="5"/>
  <c r="D123" i="5"/>
  <c r="C123" i="5"/>
  <c r="B123" i="5"/>
  <c r="A123" i="5"/>
  <c r="L122" i="5"/>
  <c r="K122" i="5"/>
  <c r="J122" i="5"/>
  <c r="I122" i="5"/>
  <c r="H122" i="5"/>
  <c r="G122" i="5"/>
  <c r="F122" i="5"/>
  <c r="E122" i="5"/>
  <c r="D122" i="5"/>
  <c r="C122" i="5"/>
  <c r="B122" i="5"/>
  <c r="A122" i="5"/>
  <c r="L121" i="5"/>
  <c r="K121" i="5"/>
  <c r="J121" i="5"/>
  <c r="I121" i="5"/>
  <c r="H121" i="5"/>
  <c r="G121" i="5"/>
  <c r="F121" i="5"/>
  <c r="E121" i="5"/>
  <c r="D121" i="5"/>
  <c r="C121" i="5"/>
  <c r="B121" i="5"/>
  <c r="A121" i="5"/>
  <c r="L120" i="5"/>
  <c r="K120" i="5"/>
  <c r="J120" i="5"/>
  <c r="I120" i="5"/>
  <c r="H120" i="5"/>
  <c r="G120" i="5"/>
  <c r="F120" i="5"/>
  <c r="E120" i="5"/>
  <c r="D120" i="5"/>
  <c r="C120" i="5"/>
  <c r="B120" i="5"/>
  <c r="A120" i="5"/>
  <c r="L119" i="5"/>
  <c r="K119" i="5"/>
  <c r="J119" i="5"/>
  <c r="I119" i="5"/>
  <c r="H119" i="5"/>
  <c r="G119" i="5"/>
  <c r="F119" i="5"/>
  <c r="E119" i="5"/>
  <c r="D119" i="5"/>
  <c r="C119" i="5"/>
  <c r="B119" i="5"/>
  <c r="A119" i="5"/>
  <c r="L118" i="5"/>
  <c r="K118" i="5"/>
  <c r="J118" i="5"/>
  <c r="I118" i="5"/>
  <c r="H118" i="5"/>
  <c r="G118" i="5"/>
  <c r="F118" i="5"/>
  <c r="E118" i="5"/>
  <c r="D118" i="5"/>
  <c r="C118" i="5"/>
  <c r="B118" i="5"/>
  <c r="A118" i="5"/>
  <c r="L117" i="5"/>
  <c r="K117" i="5"/>
  <c r="J117" i="5"/>
  <c r="I117" i="5"/>
  <c r="H117" i="5"/>
  <c r="G117" i="5"/>
  <c r="F117" i="5"/>
  <c r="E117" i="5"/>
  <c r="D117" i="5"/>
  <c r="C117" i="5"/>
  <c r="B117" i="5"/>
  <c r="A117" i="5"/>
  <c r="L116" i="5"/>
  <c r="K116" i="5"/>
  <c r="J116" i="5"/>
  <c r="I116" i="5"/>
  <c r="H116" i="5"/>
  <c r="G116" i="5"/>
  <c r="F116" i="5"/>
  <c r="E116" i="5"/>
  <c r="D116" i="5"/>
  <c r="C116" i="5"/>
  <c r="B116" i="5"/>
  <c r="A116" i="5"/>
  <c r="L115" i="5"/>
  <c r="K115" i="5"/>
  <c r="J115" i="5"/>
  <c r="I115" i="5"/>
  <c r="H115" i="5"/>
  <c r="G115" i="5"/>
  <c r="F115" i="5"/>
  <c r="E115" i="5"/>
  <c r="D115" i="5"/>
  <c r="C115" i="5"/>
  <c r="B115" i="5"/>
  <c r="A115" i="5"/>
  <c r="L114" i="5"/>
  <c r="K114" i="5"/>
  <c r="J114" i="5"/>
  <c r="I114" i="5"/>
  <c r="H114" i="5"/>
  <c r="G114" i="5"/>
  <c r="F114" i="5"/>
  <c r="E114" i="5"/>
  <c r="D114" i="5"/>
  <c r="C114" i="5"/>
  <c r="B114" i="5"/>
  <c r="A114" i="5"/>
  <c r="L113" i="5"/>
  <c r="K113" i="5"/>
  <c r="J113" i="5"/>
  <c r="I113" i="5"/>
  <c r="H113" i="5"/>
  <c r="G113" i="5"/>
  <c r="F113" i="5"/>
  <c r="E113" i="5"/>
  <c r="D113" i="5"/>
  <c r="C113" i="5"/>
  <c r="B113" i="5"/>
  <c r="A113" i="5"/>
  <c r="L112" i="5"/>
  <c r="K112" i="5"/>
  <c r="J112" i="5"/>
  <c r="I112" i="5"/>
  <c r="H112" i="5"/>
  <c r="G112" i="5"/>
  <c r="F112" i="5"/>
  <c r="E112" i="5"/>
  <c r="D112" i="5"/>
  <c r="C112" i="5"/>
  <c r="B112" i="5"/>
  <c r="A112" i="5"/>
  <c r="L111" i="5"/>
  <c r="K111" i="5"/>
  <c r="J111" i="5"/>
  <c r="I111" i="5"/>
  <c r="H111" i="5"/>
  <c r="G111" i="5"/>
  <c r="F111" i="5"/>
  <c r="E111" i="5"/>
  <c r="D111" i="5"/>
  <c r="C111" i="5"/>
  <c r="B111" i="5"/>
  <c r="A111" i="5"/>
  <c r="L110" i="5"/>
  <c r="K110" i="5"/>
  <c r="J110" i="5"/>
  <c r="I110" i="5"/>
  <c r="H110" i="5"/>
  <c r="G110" i="5"/>
  <c r="F110" i="5"/>
  <c r="E110" i="5"/>
  <c r="D110" i="5"/>
  <c r="C110" i="5"/>
  <c r="B110" i="5"/>
  <c r="A110" i="5"/>
  <c r="L109" i="5"/>
  <c r="K109" i="5"/>
  <c r="J109" i="5"/>
  <c r="I109" i="5"/>
  <c r="H109" i="5"/>
  <c r="G109" i="5"/>
  <c r="F109" i="5"/>
  <c r="E109" i="5"/>
  <c r="D109" i="5"/>
  <c r="C109" i="5"/>
  <c r="B109" i="5"/>
  <c r="A109" i="5"/>
  <c r="L108" i="5"/>
  <c r="K108" i="5"/>
  <c r="J108" i="5"/>
  <c r="I108" i="5"/>
  <c r="H108" i="5"/>
  <c r="G108" i="5"/>
  <c r="F108" i="5"/>
  <c r="E108" i="5"/>
  <c r="D108" i="5"/>
  <c r="C108" i="5"/>
  <c r="B108" i="5"/>
  <c r="A108" i="5"/>
  <c r="L107" i="5"/>
  <c r="K107" i="5"/>
  <c r="J107" i="5"/>
  <c r="I107" i="5"/>
  <c r="H107" i="5"/>
  <c r="G107" i="5"/>
  <c r="F107" i="5"/>
  <c r="E107" i="5"/>
  <c r="D107" i="5"/>
  <c r="C107" i="5"/>
  <c r="B107" i="5"/>
  <c r="A107" i="5"/>
  <c r="L106" i="5"/>
  <c r="K106" i="5"/>
  <c r="J106" i="5"/>
  <c r="I106" i="5"/>
  <c r="H106" i="5"/>
  <c r="G106" i="5"/>
  <c r="F106" i="5"/>
  <c r="E106" i="5"/>
  <c r="D106" i="5"/>
  <c r="C106" i="5"/>
  <c r="B106" i="5"/>
  <c r="A106" i="5"/>
  <c r="L105" i="5"/>
  <c r="K105" i="5"/>
  <c r="J105" i="5"/>
  <c r="I105" i="5"/>
  <c r="H105" i="5"/>
  <c r="G105" i="5"/>
  <c r="F105" i="5"/>
  <c r="E105" i="5"/>
  <c r="D105" i="5"/>
  <c r="C105" i="5"/>
  <c r="B105" i="5"/>
  <c r="A105" i="5"/>
  <c r="L104" i="5"/>
  <c r="K104" i="5"/>
  <c r="J104" i="5"/>
  <c r="I104" i="5"/>
  <c r="H104" i="5"/>
  <c r="G104" i="5"/>
  <c r="F104" i="5"/>
  <c r="E104" i="5"/>
  <c r="D104" i="5"/>
  <c r="C104" i="5"/>
  <c r="B104" i="5"/>
  <c r="A104" i="5"/>
  <c r="L103" i="5"/>
  <c r="K103" i="5"/>
  <c r="J103" i="5"/>
  <c r="I103" i="5"/>
  <c r="H103" i="5"/>
  <c r="G103" i="5"/>
  <c r="F103" i="5"/>
  <c r="E103" i="5"/>
  <c r="D103" i="5"/>
  <c r="C103" i="5"/>
  <c r="B103" i="5"/>
  <c r="A103" i="5"/>
  <c r="L102" i="5"/>
  <c r="K102" i="5"/>
  <c r="J102" i="5"/>
  <c r="I102" i="5"/>
  <c r="H102" i="5"/>
  <c r="G102" i="5"/>
  <c r="F102" i="5"/>
  <c r="E102" i="5"/>
  <c r="D102" i="5"/>
  <c r="C102" i="5"/>
  <c r="B102" i="5"/>
  <c r="A102" i="5"/>
  <c r="L101" i="5"/>
  <c r="K101" i="5"/>
  <c r="J101" i="5"/>
  <c r="I101" i="5"/>
  <c r="H101" i="5"/>
  <c r="G101" i="5"/>
  <c r="F101" i="5"/>
  <c r="E101" i="5"/>
  <c r="D101" i="5"/>
  <c r="C101" i="5"/>
  <c r="B101" i="5"/>
  <c r="A101" i="5"/>
  <c r="L100" i="5"/>
  <c r="K100" i="5"/>
  <c r="J100" i="5"/>
  <c r="I100" i="5"/>
  <c r="H100" i="5"/>
  <c r="G100" i="5"/>
  <c r="F100" i="5"/>
  <c r="E100" i="5"/>
  <c r="D100" i="5"/>
  <c r="C100" i="5"/>
  <c r="B100" i="5"/>
  <c r="A100" i="5"/>
  <c r="L99" i="5"/>
  <c r="K99" i="5"/>
  <c r="J99" i="5"/>
  <c r="I99" i="5"/>
  <c r="H99" i="5"/>
  <c r="G99" i="5"/>
  <c r="F99" i="5"/>
  <c r="E99" i="5"/>
  <c r="D99" i="5"/>
  <c r="C99" i="5"/>
  <c r="B99" i="5"/>
  <c r="A99" i="5"/>
  <c r="L98" i="5"/>
  <c r="K98" i="5"/>
  <c r="J98" i="5"/>
  <c r="I98" i="5"/>
  <c r="H98" i="5"/>
  <c r="G98" i="5"/>
  <c r="F98" i="5"/>
  <c r="E98" i="5"/>
  <c r="D98" i="5"/>
  <c r="C98" i="5"/>
  <c r="B98" i="5"/>
  <c r="A98" i="5"/>
  <c r="L97" i="5"/>
  <c r="K97" i="5"/>
  <c r="J97" i="5"/>
  <c r="I97" i="5"/>
  <c r="H97" i="5"/>
  <c r="G97" i="5"/>
  <c r="F97" i="5"/>
  <c r="E97" i="5"/>
  <c r="D97" i="5"/>
  <c r="C97" i="5"/>
  <c r="B97" i="5"/>
  <c r="A97" i="5"/>
  <c r="L96" i="5"/>
  <c r="K96" i="5"/>
  <c r="J96" i="5"/>
  <c r="I96" i="5"/>
  <c r="H96" i="5"/>
  <c r="G96" i="5"/>
  <c r="F96" i="5"/>
  <c r="E96" i="5"/>
  <c r="D96" i="5"/>
  <c r="C96" i="5"/>
  <c r="B96" i="5"/>
  <c r="A96" i="5"/>
  <c r="L95" i="5"/>
  <c r="K95" i="5"/>
  <c r="J95" i="5"/>
  <c r="I95" i="5"/>
  <c r="H95" i="5"/>
  <c r="G95" i="5"/>
  <c r="F95" i="5"/>
  <c r="E95" i="5"/>
  <c r="D95" i="5"/>
  <c r="C95" i="5"/>
  <c r="B95" i="5"/>
  <c r="A95" i="5"/>
  <c r="L94" i="5"/>
  <c r="K94" i="5"/>
  <c r="J94" i="5"/>
  <c r="I94" i="5"/>
  <c r="H94" i="5"/>
  <c r="G94" i="5"/>
  <c r="F94" i="5"/>
  <c r="E94" i="5"/>
  <c r="D94" i="5"/>
  <c r="C94" i="5"/>
  <c r="B94" i="5"/>
  <c r="A94" i="5"/>
  <c r="L93" i="5"/>
  <c r="K93" i="5"/>
  <c r="J93" i="5"/>
  <c r="I93" i="5"/>
  <c r="H93" i="5"/>
  <c r="G93" i="5"/>
  <c r="F93" i="5"/>
  <c r="E93" i="5"/>
  <c r="D93" i="5"/>
  <c r="C93" i="5"/>
  <c r="B93" i="5"/>
  <c r="A93" i="5"/>
  <c r="L92" i="5"/>
  <c r="K92" i="5"/>
  <c r="J92" i="5"/>
  <c r="I92" i="5"/>
  <c r="H92" i="5"/>
  <c r="G92" i="5"/>
  <c r="F92" i="5"/>
  <c r="E92" i="5"/>
  <c r="D92" i="5"/>
  <c r="C92" i="5"/>
  <c r="B92" i="5"/>
  <c r="A92" i="5"/>
  <c r="L91" i="5"/>
  <c r="K91" i="5"/>
  <c r="J91" i="5"/>
  <c r="I91" i="5"/>
  <c r="H91" i="5"/>
  <c r="G91" i="5"/>
  <c r="F91" i="5"/>
  <c r="E91" i="5"/>
  <c r="D91" i="5"/>
  <c r="C91" i="5"/>
  <c r="B91" i="5"/>
  <c r="A91" i="5"/>
  <c r="L90" i="5"/>
  <c r="K90" i="5"/>
  <c r="J90" i="5"/>
  <c r="I90" i="5"/>
  <c r="H90" i="5"/>
  <c r="G90" i="5"/>
  <c r="F90" i="5"/>
  <c r="E90" i="5"/>
  <c r="D90" i="5"/>
  <c r="C90" i="5"/>
  <c r="B90" i="5"/>
  <c r="A90" i="5"/>
  <c r="L89" i="5"/>
  <c r="K89" i="5"/>
  <c r="J89" i="5"/>
  <c r="I89" i="5"/>
  <c r="H89" i="5"/>
  <c r="G89" i="5"/>
  <c r="F89" i="5"/>
  <c r="E89" i="5"/>
  <c r="D89" i="5"/>
  <c r="C89" i="5"/>
  <c r="B89" i="5"/>
  <c r="A89" i="5"/>
  <c r="L88" i="5"/>
  <c r="K88" i="5"/>
  <c r="J88" i="5"/>
  <c r="I88" i="5"/>
  <c r="H88" i="5"/>
  <c r="G88" i="5"/>
  <c r="F88" i="5"/>
  <c r="E88" i="5"/>
  <c r="D88" i="5"/>
  <c r="C88" i="5"/>
  <c r="B88" i="5"/>
  <c r="A88" i="5"/>
  <c r="L87" i="5"/>
  <c r="K87" i="5"/>
  <c r="J87" i="5"/>
  <c r="I87" i="5"/>
  <c r="H87" i="5"/>
  <c r="G87" i="5"/>
  <c r="F87" i="5"/>
  <c r="E87" i="5"/>
  <c r="D87" i="5"/>
  <c r="C87" i="5"/>
  <c r="B87" i="5"/>
  <c r="A87" i="5"/>
  <c r="L86" i="5"/>
  <c r="K86" i="5"/>
  <c r="J86" i="5"/>
  <c r="I86" i="5"/>
  <c r="H86" i="5"/>
  <c r="G86" i="5"/>
  <c r="F86" i="5"/>
  <c r="E86" i="5"/>
  <c r="D86" i="5"/>
  <c r="C86" i="5"/>
  <c r="B86" i="5"/>
  <c r="A86" i="5"/>
  <c r="L85" i="5"/>
  <c r="K85" i="5"/>
  <c r="J85" i="5"/>
  <c r="I85" i="5"/>
  <c r="H85" i="5"/>
  <c r="G85" i="5"/>
  <c r="F85" i="5"/>
  <c r="E85" i="5"/>
  <c r="D85" i="5"/>
  <c r="C85" i="5"/>
  <c r="B85" i="5"/>
  <c r="A85" i="5"/>
  <c r="L84" i="5"/>
  <c r="K84" i="5"/>
  <c r="J84" i="5"/>
  <c r="I84" i="5"/>
  <c r="H84" i="5"/>
  <c r="G84" i="5"/>
  <c r="F84" i="5"/>
  <c r="E84" i="5"/>
  <c r="D84" i="5"/>
  <c r="C84" i="5"/>
  <c r="B84" i="5"/>
  <c r="A84" i="5"/>
  <c r="L83" i="5"/>
  <c r="K83" i="5"/>
  <c r="J83" i="5"/>
  <c r="I83" i="5"/>
  <c r="H83" i="5"/>
  <c r="G83" i="5"/>
  <c r="F83" i="5"/>
  <c r="E83" i="5"/>
  <c r="D83" i="5"/>
  <c r="C83" i="5"/>
  <c r="B83" i="5"/>
  <c r="A83" i="5"/>
  <c r="L82" i="5"/>
  <c r="K82" i="5"/>
  <c r="J82" i="5"/>
  <c r="I82" i="5"/>
  <c r="H82" i="5"/>
  <c r="G82" i="5"/>
  <c r="F82" i="5"/>
  <c r="E82" i="5"/>
  <c r="D82" i="5"/>
  <c r="C82" i="5"/>
  <c r="B82" i="5"/>
  <c r="A82" i="5"/>
  <c r="L81" i="5"/>
  <c r="K81" i="5"/>
  <c r="J81" i="5"/>
  <c r="I81" i="5"/>
  <c r="H81" i="5"/>
  <c r="G81" i="5"/>
  <c r="F81" i="5"/>
  <c r="E81" i="5"/>
  <c r="D81" i="5"/>
  <c r="C81" i="5"/>
  <c r="B81" i="5"/>
  <c r="A81" i="5"/>
  <c r="L80" i="5"/>
  <c r="K80" i="5"/>
  <c r="J80" i="5"/>
  <c r="I80" i="5"/>
  <c r="H80" i="5"/>
  <c r="G80" i="5"/>
  <c r="F80" i="5"/>
  <c r="E80" i="5"/>
  <c r="D80" i="5"/>
  <c r="C80" i="5"/>
  <c r="B80" i="5"/>
  <c r="A80" i="5"/>
  <c r="L79" i="5"/>
  <c r="K79" i="5"/>
  <c r="J79" i="5"/>
  <c r="I79" i="5"/>
  <c r="H79" i="5"/>
  <c r="G79" i="5"/>
  <c r="F79" i="5"/>
  <c r="E79" i="5"/>
  <c r="D79" i="5"/>
  <c r="C79" i="5"/>
  <c r="B79" i="5"/>
  <c r="A79" i="5"/>
  <c r="L78" i="5"/>
  <c r="K78" i="5"/>
  <c r="J78" i="5"/>
  <c r="I78" i="5"/>
  <c r="H78" i="5"/>
  <c r="G78" i="5"/>
  <c r="F78" i="5"/>
  <c r="E78" i="5"/>
  <c r="D78" i="5"/>
  <c r="C78" i="5"/>
  <c r="B78" i="5"/>
  <c r="A78" i="5"/>
  <c r="L77" i="5"/>
  <c r="K77" i="5"/>
  <c r="J77" i="5"/>
  <c r="I77" i="5"/>
  <c r="H77" i="5"/>
  <c r="G77" i="5"/>
  <c r="F77" i="5"/>
  <c r="E77" i="5"/>
  <c r="D77" i="5"/>
  <c r="C77" i="5"/>
  <c r="B77" i="5"/>
  <c r="A77" i="5"/>
  <c r="L76" i="5"/>
  <c r="K76" i="5"/>
  <c r="J76" i="5"/>
  <c r="I76" i="5"/>
  <c r="H76" i="5"/>
  <c r="G76" i="5"/>
  <c r="F76" i="5"/>
  <c r="E76" i="5"/>
  <c r="D76" i="5"/>
  <c r="C76" i="5"/>
  <c r="B76" i="5"/>
  <c r="A76" i="5"/>
  <c r="L75" i="5"/>
  <c r="K75" i="5"/>
  <c r="J75" i="5"/>
  <c r="I75" i="5"/>
  <c r="H75" i="5"/>
  <c r="G75" i="5"/>
  <c r="F75" i="5"/>
  <c r="E75" i="5"/>
  <c r="D75" i="5"/>
  <c r="C75" i="5"/>
  <c r="B75" i="5"/>
  <c r="A75" i="5"/>
  <c r="L74" i="5"/>
  <c r="K74" i="5"/>
  <c r="J74" i="5"/>
  <c r="I74" i="5"/>
  <c r="H74" i="5"/>
  <c r="G74" i="5"/>
  <c r="F74" i="5"/>
  <c r="E74" i="5"/>
  <c r="D74" i="5"/>
  <c r="C74" i="5"/>
  <c r="B74" i="5"/>
  <c r="A74" i="5"/>
  <c r="L73" i="5"/>
  <c r="K73" i="5"/>
  <c r="J73" i="5"/>
  <c r="I73" i="5"/>
  <c r="H73" i="5"/>
  <c r="G73" i="5"/>
  <c r="F73" i="5"/>
  <c r="E73" i="5"/>
  <c r="D73" i="5"/>
  <c r="C73" i="5"/>
  <c r="B73" i="5"/>
  <c r="A73" i="5"/>
  <c r="L72" i="5"/>
  <c r="K72" i="5"/>
  <c r="J72" i="5"/>
  <c r="I72" i="5"/>
  <c r="H72" i="5"/>
  <c r="G72" i="5"/>
  <c r="F72" i="5"/>
  <c r="E72" i="5"/>
  <c r="D72" i="5"/>
  <c r="C72" i="5"/>
  <c r="B72" i="5"/>
  <c r="A72" i="5"/>
  <c r="L71" i="5"/>
  <c r="K71" i="5"/>
  <c r="J71" i="5"/>
  <c r="I71" i="5"/>
  <c r="H71" i="5"/>
  <c r="G71" i="5"/>
  <c r="F71" i="5"/>
  <c r="E71" i="5"/>
  <c r="D71" i="5"/>
  <c r="C71" i="5"/>
  <c r="B71" i="5"/>
  <c r="A71" i="5"/>
  <c r="L70" i="5"/>
  <c r="K70" i="5"/>
  <c r="J70" i="5"/>
  <c r="I70" i="5"/>
  <c r="H70" i="5"/>
  <c r="G70" i="5"/>
  <c r="F70" i="5"/>
  <c r="E70" i="5"/>
  <c r="D70" i="5"/>
  <c r="C70" i="5"/>
  <c r="B70" i="5"/>
  <c r="A70" i="5"/>
  <c r="L69" i="5"/>
  <c r="K69" i="5"/>
  <c r="J69" i="5"/>
  <c r="I69" i="5"/>
  <c r="H69" i="5"/>
  <c r="G69" i="5"/>
  <c r="F69" i="5"/>
  <c r="E69" i="5"/>
  <c r="D69" i="5"/>
  <c r="C69" i="5"/>
  <c r="B69" i="5"/>
  <c r="A69" i="5"/>
  <c r="L68" i="5"/>
  <c r="K68" i="5"/>
  <c r="J68" i="5"/>
  <c r="I68" i="5"/>
  <c r="H68" i="5"/>
  <c r="G68" i="5"/>
  <c r="F68" i="5"/>
  <c r="E68" i="5"/>
  <c r="D68" i="5"/>
  <c r="C68" i="5"/>
  <c r="B68" i="5"/>
  <c r="A68" i="5"/>
  <c r="L67" i="5"/>
  <c r="K67" i="5"/>
  <c r="J67" i="5"/>
  <c r="I67" i="5"/>
  <c r="H67" i="5"/>
  <c r="G67" i="5"/>
  <c r="F67" i="5"/>
  <c r="E67" i="5"/>
  <c r="D67" i="5"/>
  <c r="C67" i="5"/>
  <c r="B67" i="5"/>
  <c r="A67" i="5"/>
  <c r="L66" i="5"/>
  <c r="K66" i="5"/>
  <c r="J66" i="5"/>
  <c r="I66" i="5"/>
  <c r="H66" i="5"/>
  <c r="G66" i="5"/>
  <c r="F66" i="5"/>
  <c r="E66" i="5"/>
  <c r="D66" i="5"/>
  <c r="C66" i="5"/>
  <c r="B66" i="5"/>
  <c r="A66" i="5"/>
  <c r="L65" i="5"/>
  <c r="K65" i="5"/>
  <c r="J65" i="5"/>
  <c r="I65" i="5"/>
  <c r="H65" i="5"/>
  <c r="G65" i="5"/>
  <c r="F65" i="5"/>
  <c r="E65" i="5"/>
  <c r="D65" i="5"/>
  <c r="C65" i="5"/>
  <c r="B65" i="5"/>
  <c r="A65" i="5"/>
  <c r="L64" i="5"/>
  <c r="K64" i="5"/>
  <c r="J64" i="5"/>
  <c r="I64" i="5"/>
  <c r="H64" i="5"/>
  <c r="G64" i="5"/>
  <c r="F64" i="5"/>
  <c r="E64" i="5"/>
  <c r="D64" i="5"/>
  <c r="C64" i="5"/>
  <c r="B64" i="5"/>
  <c r="A64" i="5"/>
  <c r="L63" i="5"/>
  <c r="K63" i="5"/>
  <c r="J63" i="5"/>
  <c r="I63" i="5"/>
  <c r="H63" i="5"/>
  <c r="G63" i="5"/>
  <c r="F63" i="5"/>
  <c r="E63" i="5"/>
  <c r="D63" i="5"/>
  <c r="C63" i="5"/>
  <c r="B63" i="5"/>
  <c r="A63" i="5"/>
  <c r="L62" i="5"/>
  <c r="K62" i="5"/>
  <c r="J62" i="5"/>
  <c r="I62" i="5"/>
  <c r="H62" i="5"/>
  <c r="G62" i="5"/>
  <c r="F62" i="5"/>
  <c r="E62" i="5"/>
  <c r="D62" i="5"/>
  <c r="C62" i="5"/>
  <c r="B62" i="5"/>
  <c r="A62" i="5"/>
  <c r="L61" i="5"/>
  <c r="K61" i="5"/>
  <c r="J61" i="5"/>
  <c r="I61" i="5"/>
  <c r="H61" i="5"/>
  <c r="G61" i="5"/>
  <c r="F61" i="5"/>
  <c r="E61" i="5"/>
  <c r="D61" i="5"/>
  <c r="C61" i="5"/>
  <c r="B61" i="5"/>
  <c r="A61" i="5"/>
  <c r="L60" i="5"/>
  <c r="K60" i="5"/>
  <c r="J60" i="5"/>
  <c r="I60" i="5"/>
  <c r="H60" i="5"/>
  <c r="G60" i="5"/>
  <c r="F60" i="5"/>
  <c r="E60" i="5"/>
  <c r="D60" i="5"/>
  <c r="C60" i="5"/>
  <c r="B60" i="5"/>
  <c r="A60" i="5"/>
  <c r="L59" i="5"/>
  <c r="K59" i="5"/>
  <c r="J59" i="5"/>
  <c r="I59" i="5"/>
  <c r="H59" i="5"/>
  <c r="G59" i="5"/>
  <c r="F59" i="5"/>
  <c r="E59" i="5"/>
  <c r="D59" i="5"/>
  <c r="C59" i="5"/>
  <c r="B59" i="5"/>
  <c r="A59" i="5"/>
  <c r="L58" i="5"/>
  <c r="K58" i="5"/>
  <c r="J58" i="5"/>
  <c r="I58" i="5"/>
  <c r="H58" i="5"/>
  <c r="G58" i="5"/>
  <c r="F58" i="5"/>
  <c r="E58" i="5"/>
  <c r="D58" i="5"/>
  <c r="C58" i="5"/>
  <c r="B58" i="5"/>
  <c r="A58" i="5"/>
  <c r="L57" i="5"/>
  <c r="K57" i="5"/>
  <c r="J57" i="5"/>
  <c r="I57" i="5"/>
  <c r="H57" i="5"/>
  <c r="G57" i="5"/>
  <c r="F57" i="5"/>
  <c r="E57" i="5"/>
  <c r="D57" i="5"/>
  <c r="C57" i="5"/>
  <c r="B57" i="5"/>
  <c r="A57" i="5"/>
  <c r="L56" i="5"/>
  <c r="K56" i="5"/>
  <c r="J56" i="5"/>
  <c r="I56" i="5"/>
  <c r="H56" i="5"/>
  <c r="G56" i="5"/>
  <c r="F56" i="5"/>
  <c r="E56" i="5"/>
  <c r="D56" i="5"/>
  <c r="C56" i="5"/>
  <c r="B56" i="5"/>
  <c r="A56" i="5"/>
  <c r="L55" i="5"/>
  <c r="K55" i="5"/>
  <c r="J55" i="5"/>
  <c r="I55" i="5"/>
  <c r="H55" i="5"/>
  <c r="G55" i="5"/>
  <c r="F55" i="5"/>
  <c r="E55" i="5"/>
  <c r="D55" i="5"/>
  <c r="C55" i="5"/>
  <c r="B55" i="5"/>
  <c r="A55" i="5"/>
  <c r="L54" i="5"/>
  <c r="K54" i="5"/>
  <c r="J54" i="5"/>
  <c r="I54" i="5"/>
  <c r="H54" i="5"/>
  <c r="G54" i="5"/>
  <c r="F54" i="5"/>
  <c r="E54" i="5"/>
  <c r="D54" i="5"/>
  <c r="C54" i="5"/>
  <c r="B54" i="5"/>
  <c r="A54" i="5"/>
  <c r="L53" i="5"/>
  <c r="K53" i="5"/>
  <c r="J53" i="5"/>
  <c r="I53" i="5"/>
  <c r="H53" i="5"/>
  <c r="G53" i="5"/>
  <c r="F53" i="5"/>
  <c r="E53" i="5"/>
  <c r="D53" i="5"/>
  <c r="C53" i="5"/>
  <c r="B53" i="5"/>
  <c r="A53" i="5"/>
  <c r="L52" i="5"/>
  <c r="K52" i="5"/>
  <c r="J52" i="5"/>
  <c r="I52" i="5"/>
  <c r="H52" i="5"/>
  <c r="G52" i="5"/>
  <c r="F52" i="5"/>
  <c r="E52" i="5"/>
  <c r="D52" i="5"/>
  <c r="C52" i="5"/>
  <c r="B52" i="5"/>
  <c r="A52" i="5"/>
  <c r="L51" i="5"/>
  <c r="K51" i="5"/>
  <c r="J51" i="5"/>
  <c r="I51" i="5"/>
  <c r="H51" i="5"/>
  <c r="G51" i="5"/>
  <c r="F51" i="5"/>
  <c r="E51" i="5"/>
  <c r="D51" i="5"/>
  <c r="C51" i="5"/>
  <c r="B51" i="5"/>
  <c r="A51" i="5"/>
  <c r="L50" i="5"/>
  <c r="K50" i="5"/>
  <c r="J50" i="5"/>
  <c r="I50" i="5"/>
  <c r="H50" i="5"/>
  <c r="G50" i="5"/>
  <c r="F50" i="5"/>
  <c r="E50" i="5"/>
  <c r="D50" i="5"/>
  <c r="C50" i="5"/>
  <c r="B50" i="5"/>
  <c r="A50" i="5"/>
  <c r="L49" i="5"/>
  <c r="K49" i="5"/>
  <c r="J49" i="5"/>
  <c r="I49" i="5"/>
  <c r="H49" i="5"/>
  <c r="G49" i="5"/>
  <c r="F49" i="5"/>
  <c r="E49" i="5"/>
  <c r="D49" i="5"/>
  <c r="C49" i="5"/>
  <c r="B49" i="5"/>
  <c r="A49" i="5"/>
  <c r="L48" i="5"/>
  <c r="K48" i="5"/>
  <c r="J48" i="5"/>
  <c r="I48" i="5"/>
  <c r="H48" i="5"/>
  <c r="G48" i="5"/>
  <c r="F48" i="5"/>
  <c r="E48" i="5"/>
  <c r="D48" i="5"/>
  <c r="C48" i="5"/>
  <c r="B48" i="5"/>
  <c r="A48" i="5"/>
  <c r="L47" i="5"/>
  <c r="K47" i="5"/>
  <c r="J47" i="5"/>
  <c r="I47" i="5"/>
  <c r="H47" i="5"/>
  <c r="G47" i="5"/>
  <c r="F47" i="5"/>
  <c r="E47" i="5"/>
  <c r="D47" i="5"/>
  <c r="C47" i="5"/>
  <c r="B47" i="5"/>
  <c r="A47" i="5"/>
  <c r="L46" i="5"/>
  <c r="K46" i="5"/>
  <c r="J46" i="5"/>
  <c r="I46" i="5"/>
  <c r="H46" i="5"/>
  <c r="G46" i="5"/>
  <c r="F46" i="5"/>
  <c r="E46" i="5"/>
  <c r="D46" i="5"/>
  <c r="C46" i="5"/>
  <c r="B46" i="5"/>
  <c r="A46" i="5"/>
  <c r="L45" i="5"/>
  <c r="K45" i="5"/>
  <c r="J45" i="5"/>
  <c r="I45" i="5"/>
  <c r="H45" i="5"/>
  <c r="G45" i="5"/>
  <c r="F45" i="5"/>
  <c r="E45" i="5"/>
  <c r="D45" i="5"/>
  <c r="C45" i="5"/>
  <c r="B45" i="5"/>
  <c r="A45" i="5"/>
  <c r="L44" i="5"/>
  <c r="K44" i="5"/>
  <c r="J44" i="5"/>
  <c r="I44" i="5"/>
  <c r="H44" i="5"/>
  <c r="G44" i="5"/>
  <c r="F44" i="5"/>
  <c r="E44" i="5"/>
  <c r="D44" i="5"/>
  <c r="C44" i="5"/>
  <c r="B44" i="5"/>
  <c r="A44" i="5"/>
  <c r="L43" i="5"/>
  <c r="K43" i="5"/>
  <c r="J43" i="5"/>
  <c r="I43" i="5"/>
  <c r="H43" i="5"/>
  <c r="G43" i="5"/>
  <c r="F43" i="5"/>
  <c r="E43" i="5"/>
  <c r="D43" i="5"/>
  <c r="C43" i="5"/>
  <c r="B43" i="5"/>
  <c r="A43" i="5"/>
  <c r="L42" i="5"/>
  <c r="K42" i="5"/>
  <c r="J42" i="5"/>
  <c r="I42" i="5"/>
  <c r="H42" i="5"/>
  <c r="G42" i="5"/>
  <c r="F42" i="5"/>
  <c r="E42" i="5"/>
  <c r="D42" i="5"/>
  <c r="C42" i="5"/>
  <c r="B42" i="5"/>
  <c r="A42" i="5"/>
  <c r="L41" i="5"/>
  <c r="K41" i="5"/>
  <c r="J41" i="5"/>
  <c r="I41" i="5"/>
  <c r="H41" i="5"/>
  <c r="G41" i="5"/>
  <c r="F41" i="5"/>
  <c r="E41" i="5"/>
  <c r="D41" i="5"/>
  <c r="C41" i="5"/>
  <c r="B41" i="5"/>
  <c r="A41" i="5"/>
  <c r="L40" i="5"/>
  <c r="K40" i="5"/>
  <c r="J40" i="5"/>
  <c r="I40" i="5"/>
  <c r="H40" i="5"/>
  <c r="G40" i="5"/>
  <c r="F40" i="5"/>
  <c r="E40" i="5"/>
  <c r="D40" i="5"/>
  <c r="C40" i="5"/>
  <c r="B40" i="5"/>
  <c r="A40" i="5"/>
  <c r="L39" i="5"/>
  <c r="K39" i="5"/>
  <c r="J39" i="5"/>
  <c r="I39" i="5"/>
  <c r="H39" i="5"/>
  <c r="G39" i="5"/>
  <c r="F39" i="5"/>
  <c r="E39" i="5"/>
  <c r="D39" i="5"/>
  <c r="C39" i="5"/>
  <c r="B39" i="5"/>
  <c r="A39" i="5"/>
  <c r="L38" i="5"/>
  <c r="K38" i="5"/>
  <c r="J38" i="5"/>
  <c r="I38" i="5"/>
  <c r="H38" i="5"/>
  <c r="G38" i="5"/>
  <c r="F38" i="5"/>
  <c r="E38" i="5"/>
  <c r="D38" i="5"/>
  <c r="C38" i="5"/>
  <c r="B38" i="5"/>
  <c r="A38" i="5"/>
  <c r="L37" i="5"/>
  <c r="K37" i="5"/>
  <c r="J37" i="5"/>
  <c r="I37" i="5"/>
  <c r="H37" i="5"/>
  <c r="G37" i="5"/>
  <c r="F37" i="5"/>
  <c r="E37" i="5"/>
  <c r="D37" i="5"/>
  <c r="C37" i="5"/>
  <c r="B37" i="5"/>
  <c r="A37" i="5"/>
  <c r="L36" i="5"/>
  <c r="K36" i="5"/>
  <c r="J36" i="5"/>
  <c r="I36" i="5"/>
  <c r="H36" i="5"/>
  <c r="G36" i="5"/>
  <c r="F36" i="5"/>
  <c r="E36" i="5"/>
  <c r="D36" i="5"/>
  <c r="C36" i="5"/>
  <c r="B36" i="5"/>
  <c r="A36" i="5"/>
  <c r="L35" i="5"/>
  <c r="K35" i="5"/>
  <c r="J35" i="5"/>
  <c r="I35" i="5"/>
  <c r="H35" i="5"/>
  <c r="G35" i="5"/>
  <c r="F35" i="5"/>
  <c r="E35" i="5"/>
  <c r="D35" i="5"/>
  <c r="C35" i="5"/>
  <c r="B35" i="5"/>
  <c r="A35" i="5"/>
  <c r="L34" i="5"/>
  <c r="K34" i="5"/>
  <c r="J34" i="5"/>
  <c r="I34" i="5"/>
  <c r="H34" i="5"/>
  <c r="G34" i="5"/>
  <c r="F34" i="5"/>
  <c r="E34" i="5"/>
  <c r="D34" i="5"/>
  <c r="C34" i="5"/>
  <c r="B34" i="5"/>
  <c r="A34" i="5"/>
  <c r="L33" i="5"/>
  <c r="K33" i="5"/>
  <c r="J33" i="5"/>
  <c r="I33" i="5"/>
  <c r="H33" i="5"/>
  <c r="G33" i="5"/>
  <c r="F33" i="5"/>
  <c r="E33" i="5"/>
  <c r="D33" i="5"/>
  <c r="C33" i="5"/>
  <c r="B33" i="5"/>
  <c r="A33" i="5"/>
  <c r="L32" i="5"/>
  <c r="K32" i="5"/>
  <c r="J32" i="5"/>
  <c r="I32" i="5"/>
  <c r="H32" i="5"/>
  <c r="G32" i="5"/>
  <c r="F32" i="5"/>
  <c r="E32" i="5"/>
  <c r="D32" i="5"/>
  <c r="C32" i="5"/>
  <c r="B32" i="5"/>
  <c r="A32" i="5"/>
  <c r="L31" i="5"/>
  <c r="K31" i="5"/>
  <c r="J31" i="5"/>
  <c r="I31" i="5"/>
  <c r="H31" i="5"/>
  <c r="G31" i="5"/>
  <c r="F31" i="5"/>
  <c r="E31" i="5"/>
  <c r="D31" i="5"/>
  <c r="C31" i="5"/>
  <c r="B31" i="5"/>
  <c r="A31" i="5"/>
  <c r="L30" i="5"/>
  <c r="K30" i="5"/>
  <c r="J30" i="5"/>
  <c r="I30" i="5"/>
  <c r="H30" i="5"/>
  <c r="G30" i="5"/>
  <c r="F30" i="5"/>
  <c r="E30" i="5"/>
  <c r="D30" i="5"/>
  <c r="C30" i="5"/>
  <c r="B30" i="5"/>
  <c r="A30" i="5"/>
  <c r="L29" i="5"/>
  <c r="K29" i="5"/>
  <c r="J29" i="5"/>
  <c r="I29" i="5"/>
  <c r="H29" i="5"/>
  <c r="G29" i="5"/>
  <c r="F29" i="5"/>
  <c r="E29" i="5"/>
  <c r="D29" i="5"/>
  <c r="C29" i="5"/>
  <c r="B29" i="5"/>
  <c r="A29" i="5"/>
  <c r="L28" i="5"/>
  <c r="K28" i="5"/>
  <c r="J28" i="5"/>
  <c r="I28" i="5"/>
  <c r="H28" i="5"/>
  <c r="G28" i="5"/>
  <c r="F28" i="5"/>
  <c r="E28" i="5"/>
  <c r="D28" i="5"/>
  <c r="C28" i="5"/>
  <c r="B28" i="5"/>
  <c r="A28" i="5"/>
  <c r="L27" i="5"/>
  <c r="K27" i="5"/>
  <c r="J27" i="5"/>
  <c r="I27" i="5"/>
  <c r="H27" i="5"/>
  <c r="G27" i="5"/>
  <c r="F27" i="5"/>
  <c r="E27" i="5"/>
  <c r="D27" i="5"/>
  <c r="C27" i="5"/>
  <c r="B27" i="5"/>
  <c r="A27" i="5"/>
  <c r="L26" i="5"/>
  <c r="K26" i="5"/>
  <c r="J26" i="5"/>
  <c r="I26" i="5"/>
  <c r="H26" i="5"/>
  <c r="G26" i="5"/>
  <c r="F26" i="5"/>
  <c r="E26" i="5"/>
  <c r="D26" i="5"/>
  <c r="C26" i="5"/>
  <c r="B26" i="5"/>
  <c r="A26" i="5"/>
  <c r="L25" i="5"/>
  <c r="K25" i="5"/>
  <c r="J25" i="5"/>
  <c r="I25" i="5"/>
  <c r="H25" i="5"/>
  <c r="G25" i="5"/>
  <c r="F25" i="5"/>
  <c r="E25" i="5"/>
  <c r="D25" i="5"/>
  <c r="C25" i="5"/>
  <c r="B25" i="5"/>
  <c r="A25" i="5"/>
  <c r="L24" i="5"/>
  <c r="K24" i="5"/>
  <c r="J24" i="5"/>
  <c r="I24" i="5"/>
  <c r="H24" i="5"/>
  <c r="G24" i="5"/>
  <c r="F24" i="5"/>
  <c r="E24" i="5"/>
  <c r="D24" i="5"/>
  <c r="C24" i="5"/>
  <c r="B24" i="5"/>
  <c r="A24" i="5"/>
  <c r="L23" i="5"/>
  <c r="K23" i="5"/>
  <c r="J23" i="5"/>
  <c r="I23" i="5"/>
  <c r="H23" i="5"/>
  <c r="G23" i="5"/>
  <c r="F23" i="5"/>
  <c r="E23" i="5"/>
  <c r="D23" i="5"/>
  <c r="C23" i="5"/>
  <c r="B23" i="5"/>
  <c r="A23" i="5"/>
  <c r="L22" i="5"/>
  <c r="K22" i="5"/>
  <c r="J22" i="5"/>
  <c r="I22" i="5"/>
  <c r="H22" i="5"/>
  <c r="G22" i="5"/>
  <c r="F22" i="5"/>
  <c r="E22" i="5"/>
  <c r="D22" i="5"/>
  <c r="C22" i="5"/>
  <c r="B22" i="5"/>
  <c r="A22" i="5"/>
  <c r="L21" i="5"/>
  <c r="K21" i="5"/>
  <c r="J21" i="5"/>
  <c r="I21" i="5"/>
  <c r="H21" i="5"/>
  <c r="G21" i="5"/>
  <c r="F21" i="5"/>
  <c r="E21" i="5"/>
  <c r="D21" i="5"/>
  <c r="C21" i="5"/>
  <c r="B21" i="5"/>
  <c r="A21" i="5"/>
  <c r="L20" i="5"/>
  <c r="K20" i="5"/>
  <c r="J20" i="5"/>
  <c r="I20" i="5"/>
  <c r="H20" i="5"/>
  <c r="G20" i="5"/>
  <c r="F20" i="5"/>
  <c r="E20" i="5"/>
  <c r="D20" i="5"/>
  <c r="C20" i="5"/>
  <c r="B20" i="5"/>
  <c r="A20" i="5"/>
  <c r="L19" i="5"/>
  <c r="K19" i="5"/>
  <c r="J19" i="5"/>
  <c r="I19" i="5"/>
  <c r="H19" i="5"/>
  <c r="G19" i="5"/>
  <c r="F19" i="5"/>
  <c r="E19" i="5"/>
  <c r="D19" i="5"/>
  <c r="C19" i="5"/>
  <c r="B19" i="5"/>
  <c r="A19" i="5"/>
  <c r="L18" i="5"/>
  <c r="K18" i="5"/>
  <c r="J18" i="5"/>
  <c r="I18" i="5"/>
  <c r="H18" i="5"/>
  <c r="G18" i="5"/>
  <c r="F18" i="5"/>
  <c r="E18" i="5"/>
  <c r="D18" i="5"/>
  <c r="C18" i="5"/>
  <c r="B18" i="5"/>
  <c r="A18" i="5"/>
  <c r="L17" i="5"/>
  <c r="K17" i="5"/>
  <c r="J17" i="5"/>
  <c r="I17" i="5"/>
  <c r="H17" i="5"/>
  <c r="G17" i="5"/>
  <c r="F17" i="5"/>
  <c r="E17" i="5"/>
  <c r="D17" i="5"/>
  <c r="C17" i="5"/>
  <c r="B17" i="5"/>
  <c r="A17" i="5"/>
  <c r="L16" i="5"/>
  <c r="K16" i="5"/>
  <c r="J16" i="5"/>
  <c r="I16" i="5"/>
  <c r="H16" i="5"/>
  <c r="G16" i="5"/>
  <c r="F16" i="5"/>
  <c r="E16" i="5"/>
  <c r="D16" i="5"/>
  <c r="C16" i="5"/>
  <c r="B16" i="5"/>
  <c r="A16" i="5"/>
  <c r="L15" i="5"/>
  <c r="K15" i="5"/>
  <c r="J15" i="5"/>
  <c r="I15" i="5"/>
  <c r="H15" i="5"/>
  <c r="G15" i="5"/>
  <c r="F15" i="5"/>
  <c r="E15" i="5"/>
  <c r="D15" i="5"/>
  <c r="C15" i="5"/>
  <c r="B15" i="5"/>
  <c r="A15" i="5"/>
  <c r="L14" i="5"/>
  <c r="K14" i="5"/>
  <c r="J14" i="5"/>
  <c r="I14" i="5"/>
  <c r="H14" i="5"/>
  <c r="G14" i="5"/>
  <c r="F14" i="5"/>
  <c r="E14" i="5"/>
  <c r="D14" i="5"/>
  <c r="C14" i="5"/>
  <c r="B14" i="5"/>
  <c r="A14" i="5"/>
  <c r="L13" i="5"/>
  <c r="K13" i="5"/>
  <c r="J13" i="5"/>
  <c r="I13" i="5"/>
  <c r="H13" i="5"/>
  <c r="G13" i="5"/>
  <c r="F13" i="5"/>
  <c r="E13" i="5"/>
  <c r="D13" i="5"/>
  <c r="C13" i="5"/>
  <c r="B13" i="5"/>
  <c r="A13" i="5"/>
  <c r="L12" i="5"/>
  <c r="K12" i="5"/>
  <c r="J12" i="5"/>
  <c r="I12" i="5"/>
  <c r="H12" i="5"/>
  <c r="G12" i="5"/>
  <c r="F12" i="5"/>
  <c r="E12" i="5"/>
  <c r="D12" i="5"/>
  <c r="C12" i="5"/>
  <c r="B12" i="5"/>
  <c r="A12" i="5"/>
  <c r="L11" i="5"/>
  <c r="K11" i="5"/>
  <c r="J11" i="5"/>
  <c r="I11" i="5"/>
  <c r="H11" i="5"/>
  <c r="G11" i="5"/>
  <c r="F11" i="5"/>
  <c r="E11" i="5"/>
  <c r="D11" i="5"/>
  <c r="C11" i="5"/>
  <c r="B11" i="5"/>
  <c r="A11" i="5"/>
  <c r="L10" i="5"/>
  <c r="K10" i="5"/>
  <c r="J10" i="5"/>
  <c r="I10" i="5"/>
  <c r="H10" i="5"/>
  <c r="G10" i="5"/>
  <c r="F10" i="5"/>
  <c r="E10" i="5"/>
  <c r="D10" i="5"/>
  <c r="C10" i="5"/>
  <c r="B10" i="5"/>
  <c r="A10" i="5"/>
  <c r="L9" i="5"/>
  <c r="K9" i="5"/>
  <c r="J9" i="5"/>
  <c r="I9" i="5"/>
  <c r="H9" i="5"/>
  <c r="G9" i="5"/>
  <c r="F9" i="5"/>
  <c r="E9" i="5"/>
  <c r="D9" i="5"/>
  <c r="C9" i="5"/>
  <c r="B9" i="5"/>
  <c r="A9" i="5"/>
  <c r="L8" i="5"/>
  <c r="K8" i="5"/>
  <c r="J8" i="5"/>
  <c r="I8" i="5"/>
  <c r="H8" i="5"/>
  <c r="G8" i="5"/>
  <c r="F8" i="5"/>
  <c r="E8" i="5"/>
  <c r="D8" i="5"/>
  <c r="C8" i="5"/>
  <c r="B8" i="5"/>
  <c r="A8" i="5"/>
  <c r="L7" i="5"/>
  <c r="K7" i="5"/>
  <c r="J7" i="5"/>
  <c r="I7" i="5"/>
  <c r="H7" i="5"/>
  <c r="G7" i="5"/>
  <c r="F7" i="5"/>
  <c r="E7" i="5"/>
  <c r="D7" i="5"/>
  <c r="C7" i="5"/>
  <c r="B7" i="5"/>
  <c r="A7" i="5"/>
  <c r="L6" i="5"/>
  <c r="K6" i="5"/>
  <c r="J6" i="5"/>
  <c r="I6" i="5"/>
  <c r="H6" i="5"/>
  <c r="G6" i="5"/>
  <c r="F6" i="5"/>
  <c r="E6" i="5"/>
  <c r="D6" i="5"/>
  <c r="C6" i="5"/>
  <c r="B6" i="5"/>
  <c r="A6" i="5"/>
  <c r="L5" i="5"/>
  <c r="K5" i="5"/>
  <c r="J5" i="5"/>
  <c r="I5" i="5"/>
  <c r="H5" i="5"/>
  <c r="G5" i="5"/>
  <c r="F5" i="5"/>
  <c r="E5" i="5"/>
  <c r="D5" i="5"/>
  <c r="C5" i="5"/>
  <c r="B5" i="5"/>
  <c r="A5" i="5"/>
  <c r="L4" i="5"/>
  <c r="K4" i="5"/>
  <c r="J4" i="5"/>
  <c r="I4" i="5"/>
  <c r="H4" i="5"/>
  <c r="G4" i="5"/>
  <c r="F4" i="5"/>
  <c r="E4" i="5"/>
  <c r="D4" i="5"/>
  <c r="C4" i="5"/>
  <c r="B4" i="5"/>
  <c r="A4" i="5"/>
  <c r="L3" i="5"/>
  <c r="K3" i="5"/>
  <c r="J3" i="5"/>
  <c r="I3" i="5"/>
  <c r="H3" i="5"/>
  <c r="G3" i="5"/>
  <c r="F3" i="5"/>
  <c r="E3" i="5"/>
  <c r="D3" i="5"/>
  <c r="C3" i="5"/>
  <c r="B3" i="5"/>
  <c r="A3" i="5"/>
  <c r="L2" i="5"/>
  <c r="K2" i="5"/>
  <c r="J2" i="5"/>
  <c r="I2" i="5"/>
  <c r="H2" i="5"/>
  <c r="G2" i="5"/>
  <c r="F2" i="5"/>
  <c r="E2" i="5"/>
  <c r="D2" i="5"/>
  <c r="C2" i="5"/>
  <c r="B2" i="5"/>
  <c r="A2" i="5"/>
  <c r="L1" i="5"/>
  <c r="K1" i="5"/>
  <c r="J1" i="5"/>
  <c r="I1" i="5"/>
  <c r="H1" i="5"/>
  <c r="G1" i="5"/>
  <c r="F1" i="5"/>
  <c r="E1" i="5"/>
  <c r="D1" i="5"/>
  <c r="C1" i="5"/>
  <c r="B1" i="5"/>
  <c r="A1" i="5"/>
  <c r="L136" i="4"/>
  <c r="K136" i="4"/>
  <c r="J136" i="4"/>
  <c r="I136" i="4"/>
  <c r="H136" i="4"/>
  <c r="G136" i="4"/>
  <c r="F136" i="4"/>
  <c r="E136" i="4"/>
  <c r="D136" i="4"/>
  <c r="C136" i="4"/>
  <c r="B136" i="4"/>
  <c r="A136" i="4"/>
  <c r="L135" i="4"/>
  <c r="K135" i="4"/>
  <c r="J135" i="4"/>
  <c r="I135" i="4"/>
  <c r="H135" i="4"/>
  <c r="G135" i="4"/>
  <c r="F135" i="4"/>
  <c r="E135" i="4"/>
  <c r="D135" i="4"/>
  <c r="C135" i="4"/>
  <c r="B135" i="4"/>
  <c r="A135" i="4"/>
  <c r="L134" i="4"/>
  <c r="K134" i="4"/>
  <c r="J134" i="4"/>
  <c r="I134" i="4"/>
  <c r="H134" i="4"/>
  <c r="G134" i="4"/>
  <c r="F134" i="4"/>
  <c r="E134" i="4"/>
  <c r="D134" i="4"/>
  <c r="C134" i="4"/>
  <c r="B134" i="4"/>
  <c r="A134" i="4"/>
  <c r="L133" i="4"/>
  <c r="K133" i="4"/>
  <c r="J133" i="4"/>
  <c r="I133" i="4"/>
  <c r="H133" i="4"/>
  <c r="G133" i="4"/>
  <c r="F133" i="4"/>
  <c r="E133" i="4"/>
  <c r="D133" i="4"/>
  <c r="C133" i="4"/>
  <c r="B133" i="4"/>
  <c r="A133" i="4"/>
  <c r="L132" i="4"/>
  <c r="K132" i="4"/>
  <c r="J132" i="4"/>
  <c r="I132" i="4"/>
  <c r="H132" i="4"/>
  <c r="G132" i="4"/>
  <c r="F132" i="4"/>
  <c r="E132" i="4"/>
  <c r="D132" i="4"/>
  <c r="C132" i="4"/>
  <c r="B132" i="4"/>
  <c r="A132" i="4"/>
  <c r="L131" i="4"/>
  <c r="K131" i="4"/>
  <c r="J131" i="4"/>
  <c r="I131" i="4"/>
  <c r="H131" i="4"/>
  <c r="G131" i="4"/>
  <c r="F131" i="4"/>
  <c r="E131" i="4"/>
  <c r="D131" i="4"/>
  <c r="C131" i="4"/>
  <c r="B131" i="4"/>
  <c r="A131" i="4"/>
  <c r="L130" i="4"/>
  <c r="K130" i="4"/>
  <c r="J130" i="4"/>
  <c r="I130" i="4"/>
  <c r="H130" i="4"/>
  <c r="G130" i="4"/>
  <c r="F130" i="4"/>
  <c r="E130" i="4"/>
  <c r="D130" i="4"/>
  <c r="C130" i="4"/>
  <c r="B130" i="4"/>
  <c r="A130" i="4"/>
  <c r="L129" i="4"/>
  <c r="K129" i="4"/>
  <c r="J129" i="4"/>
  <c r="I129" i="4"/>
  <c r="H129" i="4"/>
  <c r="G129" i="4"/>
  <c r="F129" i="4"/>
  <c r="E129" i="4"/>
  <c r="D129" i="4"/>
  <c r="C129" i="4"/>
  <c r="B129" i="4"/>
  <c r="A129" i="4"/>
  <c r="L128" i="4"/>
  <c r="K128" i="4"/>
  <c r="J128" i="4"/>
  <c r="I128" i="4"/>
  <c r="H128" i="4"/>
  <c r="G128" i="4"/>
  <c r="F128" i="4"/>
  <c r="E128" i="4"/>
  <c r="D128" i="4"/>
  <c r="C128" i="4"/>
  <c r="B128" i="4"/>
  <c r="A128" i="4"/>
  <c r="L127" i="4"/>
  <c r="K127" i="4"/>
  <c r="J127" i="4"/>
  <c r="I127" i="4"/>
  <c r="H127" i="4"/>
  <c r="G127" i="4"/>
  <c r="F127" i="4"/>
  <c r="E127" i="4"/>
  <c r="D127" i="4"/>
  <c r="C127" i="4"/>
  <c r="B127" i="4"/>
  <c r="A127" i="4"/>
  <c r="L126" i="4"/>
  <c r="K126" i="4"/>
  <c r="J126" i="4"/>
  <c r="I126" i="4"/>
  <c r="H126" i="4"/>
  <c r="G126" i="4"/>
  <c r="F126" i="4"/>
  <c r="E126" i="4"/>
  <c r="D126" i="4"/>
  <c r="C126" i="4"/>
  <c r="B126" i="4"/>
  <c r="A126" i="4"/>
  <c r="L125" i="4"/>
  <c r="K125" i="4"/>
  <c r="J125" i="4"/>
  <c r="I125" i="4"/>
  <c r="H125" i="4"/>
  <c r="G125" i="4"/>
  <c r="F125" i="4"/>
  <c r="E125" i="4"/>
  <c r="D125" i="4"/>
  <c r="C125" i="4"/>
  <c r="B125" i="4"/>
  <c r="A125" i="4"/>
  <c r="L124" i="4"/>
  <c r="K124" i="4"/>
  <c r="J124" i="4"/>
  <c r="I124" i="4"/>
  <c r="H124" i="4"/>
  <c r="G124" i="4"/>
  <c r="F124" i="4"/>
  <c r="E124" i="4"/>
  <c r="D124" i="4"/>
  <c r="C124" i="4"/>
  <c r="B124" i="4"/>
  <c r="A124" i="4"/>
  <c r="L123" i="4"/>
  <c r="K123" i="4"/>
  <c r="J123" i="4"/>
  <c r="I123" i="4"/>
  <c r="H123" i="4"/>
  <c r="G123" i="4"/>
  <c r="F123" i="4"/>
  <c r="E123" i="4"/>
  <c r="D123" i="4"/>
  <c r="C123" i="4"/>
  <c r="B123" i="4"/>
  <c r="A123" i="4"/>
  <c r="L122" i="4"/>
  <c r="K122" i="4"/>
  <c r="J122" i="4"/>
  <c r="I122" i="4"/>
  <c r="H122" i="4"/>
  <c r="G122" i="4"/>
  <c r="F122" i="4"/>
  <c r="E122" i="4"/>
  <c r="D122" i="4"/>
  <c r="C122" i="4"/>
  <c r="B122" i="4"/>
  <c r="A122" i="4"/>
  <c r="L121" i="4"/>
  <c r="K121" i="4"/>
  <c r="J121" i="4"/>
  <c r="I121" i="4"/>
  <c r="H121" i="4"/>
  <c r="G121" i="4"/>
  <c r="F121" i="4"/>
  <c r="E121" i="4"/>
  <c r="D121" i="4"/>
  <c r="C121" i="4"/>
  <c r="B121" i="4"/>
  <c r="A121" i="4"/>
  <c r="L120" i="4"/>
  <c r="K120" i="4"/>
  <c r="J120" i="4"/>
  <c r="I120" i="4"/>
  <c r="H120" i="4"/>
  <c r="G120" i="4"/>
  <c r="F120" i="4"/>
  <c r="E120" i="4"/>
  <c r="D120" i="4"/>
  <c r="C120" i="4"/>
  <c r="B120" i="4"/>
  <c r="A120" i="4"/>
  <c r="L119" i="4"/>
  <c r="K119" i="4"/>
  <c r="J119" i="4"/>
  <c r="I119" i="4"/>
  <c r="H119" i="4"/>
  <c r="G119" i="4"/>
  <c r="F119" i="4"/>
  <c r="E119" i="4"/>
  <c r="D119" i="4"/>
  <c r="C119" i="4"/>
  <c r="B119" i="4"/>
  <c r="A119" i="4"/>
  <c r="L118" i="4"/>
  <c r="K118" i="4"/>
  <c r="J118" i="4"/>
  <c r="I118" i="4"/>
  <c r="H118" i="4"/>
  <c r="G118" i="4"/>
  <c r="F118" i="4"/>
  <c r="E118" i="4"/>
  <c r="D118" i="4"/>
  <c r="C118" i="4"/>
  <c r="B118" i="4"/>
  <c r="A118" i="4"/>
  <c r="L117" i="4"/>
  <c r="K117" i="4"/>
  <c r="J117" i="4"/>
  <c r="I117" i="4"/>
  <c r="H117" i="4"/>
  <c r="G117" i="4"/>
  <c r="F117" i="4"/>
  <c r="E117" i="4"/>
  <c r="D117" i="4"/>
  <c r="C117" i="4"/>
  <c r="B117" i="4"/>
  <c r="A117" i="4"/>
  <c r="L116" i="4"/>
  <c r="K116" i="4"/>
  <c r="J116" i="4"/>
  <c r="I116" i="4"/>
  <c r="H116" i="4"/>
  <c r="G116" i="4"/>
  <c r="F116" i="4"/>
  <c r="E116" i="4"/>
  <c r="D116" i="4"/>
  <c r="C116" i="4"/>
  <c r="B116" i="4"/>
  <c r="A116" i="4"/>
  <c r="L115" i="4"/>
  <c r="K115" i="4"/>
  <c r="J115" i="4"/>
  <c r="I115" i="4"/>
  <c r="H115" i="4"/>
  <c r="G115" i="4"/>
  <c r="F115" i="4"/>
  <c r="E115" i="4"/>
  <c r="D115" i="4"/>
  <c r="C115" i="4"/>
  <c r="B115" i="4"/>
  <c r="A115" i="4"/>
  <c r="L114" i="4"/>
  <c r="K114" i="4"/>
  <c r="J114" i="4"/>
  <c r="I114" i="4"/>
  <c r="H114" i="4"/>
  <c r="G114" i="4"/>
  <c r="F114" i="4"/>
  <c r="E114" i="4"/>
  <c r="D114" i="4"/>
  <c r="C114" i="4"/>
  <c r="B114" i="4"/>
  <c r="A114" i="4"/>
  <c r="L113" i="4"/>
  <c r="K113" i="4"/>
  <c r="J113" i="4"/>
  <c r="I113" i="4"/>
  <c r="H113" i="4"/>
  <c r="G113" i="4"/>
  <c r="F113" i="4"/>
  <c r="E113" i="4"/>
  <c r="D113" i="4"/>
  <c r="C113" i="4"/>
  <c r="B113" i="4"/>
  <c r="A113" i="4"/>
  <c r="L112" i="4"/>
  <c r="K112" i="4"/>
  <c r="J112" i="4"/>
  <c r="I112" i="4"/>
  <c r="H112" i="4"/>
  <c r="G112" i="4"/>
  <c r="F112" i="4"/>
  <c r="E112" i="4"/>
  <c r="D112" i="4"/>
  <c r="C112" i="4"/>
  <c r="B112" i="4"/>
  <c r="A112" i="4"/>
  <c r="L111" i="4"/>
  <c r="K111" i="4"/>
  <c r="J111" i="4"/>
  <c r="I111" i="4"/>
  <c r="H111" i="4"/>
  <c r="G111" i="4"/>
  <c r="F111" i="4"/>
  <c r="E111" i="4"/>
  <c r="D111" i="4"/>
  <c r="C111" i="4"/>
  <c r="B111" i="4"/>
  <c r="A111" i="4"/>
  <c r="L110" i="4"/>
  <c r="K110" i="4"/>
  <c r="J110" i="4"/>
  <c r="I110" i="4"/>
  <c r="H110" i="4"/>
  <c r="G110" i="4"/>
  <c r="F110" i="4"/>
  <c r="E110" i="4"/>
  <c r="D110" i="4"/>
  <c r="C110" i="4"/>
  <c r="B110" i="4"/>
  <c r="A110" i="4"/>
  <c r="L109" i="4"/>
  <c r="K109" i="4"/>
  <c r="J109" i="4"/>
  <c r="I109" i="4"/>
  <c r="H109" i="4"/>
  <c r="G109" i="4"/>
  <c r="F109" i="4"/>
  <c r="E109" i="4"/>
  <c r="D109" i="4"/>
  <c r="C109" i="4"/>
  <c r="B109" i="4"/>
  <c r="A109" i="4"/>
  <c r="L108" i="4"/>
  <c r="K108" i="4"/>
  <c r="J108" i="4"/>
  <c r="I108" i="4"/>
  <c r="H108" i="4"/>
  <c r="G108" i="4"/>
  <c r="F108" i="4"/>
  <c r="E108" i="4"/>
  <c r="D108" i="4"/>
  <c r="C108" i="4"/>
  <c r="B108" i="4"/>
  <c r="A108" i="4"/>
  <c r="L107" i="4"/>
  <c r="K107" i="4"/>
  <c r="J107" i="4"/>
  <c r="I107" i="4"/>
  <c r="H107" i="4"/>
  <c r="G107" i="4"/>
  <c r="F107" i="4"/>
  <c r="E107" i="4"/>
  <c r="D107" i="4"/>
  <c r="C107" i="4"/>
  <c r="B107" i="4"/>
  <c r="A107" i="4"/>
  <c r="L106" i="4"/>
  <c r="K106" i="4"/>
  <c r="J106" i="4"/>
  <c r="I106" i="4"/>
  <c r="H106" i="4"/>
  <c r="G106" i="4"/>
  <c r="F106" i="4"/>
  <c r="E106" i="4"/>
  <c r="D106" i="4"/>
  <c r="C106" i="4"/>
  <c r="B106" i="4"/>
  <c r="A106" i="4"/>
  <c r="L105" i="4"/>
  <c r="K105" i="4"/>
  <c r="J105" i="4"/>
  <c r="I105" i="4"/>
  <c r="H105" i="4"/>
  <c r="G105" i="4"/>
  <c r="F105" i="4"/>
  <c r="E105" i="4"/>
  <c r="D105" i="4"/>
  <c r="C105" i="4"/>
  <c r="B105" i="4"/>
  <c r="A105" i="4"/>
  <c r="L104" i="4"/>
  <c r="K104" i="4"/>
  <c r="J104" i="4"/>
  <c r="I104" i="4"/>
  <c r="H104" i="4"/>
  <c r="G104" i="4"/>
  <c r="F104" i="4"/>
  <c r="E104" i="4"/>
  <c r="D104" i="4"/>
  <c r="C104" i="4"/>
  <c r="B104" i="4"/>
  <c r="A104" i="4"/>
  <c r="L103" i="4"/>
  <c r="K103" i="4"/>
  <c r="J103" i="4"/>
  <c r="I103" i="4"/>
  <c r="H103" i="4"/>
  <c r="G103" i="4"/>
  <c r="F103" i="4"/>
  <c r="E103" i="4"/>
  <c r="D103" i="4"/>
  <c r="C103" i="4"/>
  <c r="B103" i="4"/>
  <c r="A103" i="4"/>
  <c r="L102" i="4"/>
  <c r="K102" i="4"/>
  <c r="J102" i="4"/>
  <c r="I102" i="4"/>
  <c r="H102" i="4"/>
  <c r="G102" i="4"/>
  <c r="F102" i="4"/>
  <c r="E102" i="4"/>
  <c r="D102" i="4"/>
  <c r="C102" i="4"/>
  <c r="B102" i="4"/>
  <c r="A102" i="4"/>
  <c r="L101" i="4"/>
  <c r="K101" i="4"/>
  <c r="J101" i="4"/>
  <c r="I101" i="4"/>
  <c r="H101" i="4"/>
  <c r="G101" i="4"/>
  <c r="F101" i="4"/>
  <c r="E101" i="4"/>
  <c r="D101" i="4"/>
  <c r="C101" i="4"/>
  <c r="B101" i="4"/>
  <c r="A101" i="4"/>
  <c r="L100" i="4"/>
  <c r="K100" i="4"/>
  <c r="J100" i="4"/>
  <c r="I100" i="4"/>
  <c r="H100" i="4"/>
  <c r="G100" i="4"/>
  <c r="F100" i="4"/>
  <c r="E100" i="4"/>
  <c r="D100" i="4"/>
  <c r="C100" i="4"/>
  <c r="B100" i="4"/>
  <c r="A100" i="4"/>
  <c r="L99" i="4"/>
  <c r="K99" i="4"/>
  <c r="J99" i="4"/>
  <c r="I99" i="4"/>
  <c r="H99" i="4"/>
  <c r="G99" i="4"/>
  <c r="F99" i="4"/>
  <c r="E99" i="4"/>
  <c r="D99" i="4"/>
  <c r="C99" i="4"/>
  <c r="B99" i="4"/>
  <c r="A99" i="4"/>
  <c r="L98" i="4"/>
  <c r="K98" i="4"/>
  <c r="J98" i="4"/>
  <c r="I98" i="4"/>
  <c r="H98" i="4"/>
  <c r="G98" i="4"/>
  <c r="F98" i="4"/>
  <c r="E98" i="4"/>
  <c r="D98" i="4"/>
  <c r="C98" i="4"/>
  <c r="B98" i="4"/>
  <c r="A98" i="4"/>
  <c r="L97" i="4"/>
  <c r="K97" i="4"/>
  <c r="J97" i="4"/>
  <c r="I97" i="4"/>
  <c r="H97" i="4"/>
  <c r="G97" i="4"/>
  <c r="F97" i="4"/>
  <c r="E97" i="4"/>
  <c r="D97" i="4"/>
  <c r="C97" i="4"/>
  <c r="B97" i="4"/>
  <c r="A97" i="4"/>
  <c r="L96" i="4"/>
  <c r="K96" i="4"/>
  <c r="J96" i="4"/>
  <c r="I96" i="4"/>
  <c r="H96" i="4"/>
  <c r="G96" i="4"/>
  <c r="F96" i="4"/>
  <c r="E96" i="4"/>
  <c r="D96" i="4"/>
  <c r="C96" i="4"/>
  <c r="B96" i="4"/>
  <c r="A96" i="4"/>
  <c r="L95" i="4"/>
  <c r="K95" i="4"/>
  <c r="J95" i="4"/>
  <c r="I95" i="4"/>
  <c r="H95" i="4"/>
  <c r="G95" i="4"/>
  <c r="F95" i="4"/>
  <c r="E95" i="4"/>
  <c r="D95" i="4"/>
  <c r="C95" i="4"/>
  <c r="B95" i="4"/>
  <c r="A95" i="4"/>
  <c r="L94" i="4"/>
  <c r="K94" i="4"/>
  <c r="J94" i="4"/>
  <c r="I94" i="4"/>
  <c r="H94" i="4"/>
  <c r="G94" i="4"/>
  <c r="F94" i="4"/>
  <c r="E94" i="4"/>
  <c r="D94" i="4"/>
  <c r="C94" i="4"/>
  <c r="B94" i="4"/>
  <c r="A94" i="4"/>
  <c r="L93" i="4"/>
  <c r="K93" i="4"/>
  <c r="J93" i="4"/>
  <c r="I93" i="4"/>
  <c r="H93" i="4"/>
  <c r="G93" i="4"/>
  <c r="F93" i="4"/>
  <c r="E93" i="4"/>
  <c r="D93" i="4"/>
  <c r="C93" i="4"/>
  <c r="B93" i="4"/>
  <c r="A93" i="4"/>
  <c r="L92" i="4"/>
  <c r="K92" i="4"/>
  <c r="J92" i="4"/>
  <c r="I92" i="4"/>
  <c r="H92" i="4"/>
  <c r="G92" i="4"/>
  <c r="F92" i="4"/>
  <c r="E92" i="4"/>
  <c r="D92" i="4"/>
  <c r="C92" i="4"/>
  <c r="B92" i="4"/>
  <c r="A92" i="4"/>
  <c r="L91" i="4"/>
  <c r="K91" i="4"/>
  <c r="J91" i="4"/>
  <c r="I91" i="4"/>
  <c r="H91" i="4"/>
  <c r="G91" i="4"/>
  <c r="F91" i="4"/>
  <c r="E91" i="4"/>
  <c r="D91" i="4"/>
  <c r="C91" i="4"/>
  <c r="B91" i="4"/>
  <c r="A91" i="4"/>
  <c r="L90" i="4"/>
  <c r="K90" i="4"/>
  <c r="J90" i="4"/>
  <c r="I90" i="4"/>
  <c r="H90" i="4"/>
  <c r="G90" i="4"/>
  <c r="F90" i="4"/>
  <c r="E90" i="4"/>
  <c r="D90" i="4"/>
  <c r="C90" i="4"/>
  <c r="B90" i="4"/>
  <c r="A90" i="4"/>
  <c r="L89" i="4"/>
  <c r="K89" i="4"/>
  <c r="J89" i="4"/>
  <c r="I89" i="4"/>
  <c r="H89" i="4"/>
  <c r="G89" i="4"/>
  <c r="F89" i="4"/>
  <c r="E89" i="4"/>
  <c r="D89" i="4"/>
  <c r="C89" i="4"/>
  <c r="B89" i="4"/>
  <c r="A89" i="4"/>
  <c r="L88" i="4"/>
  <c r="K88" i="4"/>
  <c r="J88" i="4"/>
  <c r="I88" i="4"/>
  <c r="H88" i="4"/>
  <c r="G88" i="4"/>
  <c r="F88" i="4"/>
  <c r="E88" i="4"/>
  <c r="D88" i="4"/>
  <c r="C88" i="4"/>
  <c r="B88" i="4"/>
  <c r="A88" i="4"/>
  <c r="L87" i="4"/>
  <c r="K87" i="4"/>
  <c r="J87" i="4"/>
  <c r="I87" i="4"/>
  <c r="H87" i="4"/>
  <c r="G87" i="4"/>
  <c r="F87" i="4"/>
  <c r="E87" i="4"/>
  <c r="D87" i="4"/>
  <c r="C87" i="4"/>
  <c r="B87" i="4"/>
  <c r="A87" i="4"/>
  <c r="L86" i="4"/>
  <c r="K86" i="4"/>
  <c r="J86" i="4"/>
  <c r="I86" i="4"/>
  <c r="H86" i="4"/>
  <c r="G86" i="4"/>
  <c r="F86" i="4"/>
  <c r="E86" i="4"/>
  <c r="D86" i="4"/>
  <c r="C86" i="4"/>
  <c r="B86" i="4"/>
  <c r="A86" i="4"/>
  <c r="L85" i="4"/>
  <c r="K85" i="4"/>
  <c r="J85" i="4"/>
  <c r="I85" i="4"/>
  <c r="H85" i="4"/>
  <c r="G85" i="4"/>
  <c r="F85" i="4"/>
  <c r="E85" i="4"/>
  <c r="D85" i="4"/>
  <c r="C85" i="4"/>
  <c r="B85" i="4"/>
  <c r="A85" i="4"/>
  <c r="L84" i="4"/>
  <c r="K84" i="4"/>
  <c r="J84" i="4"/>
  <c r="I84" i="4"/>
  <c r="H84" i="4"/>
  <c r="G84" i="4"/>
  <c r="F84" i="4"/>
  <c r="E84" i="4"/>
  <c r="D84" i="4"/>
  <c r="C84" i="4"/>
  <c r="B84" i="4"/>
  <c r="A84" i="4"/>
  <c r="L83" i="4"/>
  <c r="K83" i="4"/>
  <c r="J83" i="4"/>
  <c r="I83" i="4"/>
  <c r="H83" i="4"/>
  <c r="G83" i="4"/>
  <c r="F83" i="4"/>
  <c r="E83" i="4"/>
  <c r="D83" i="4"/>
  <c r="C83" i="4"/>
  <c r="B83" i="4"/>
  <c r="A83" i="4"/>
  <c r="L82" i="4"/>
  <c r="K82" i="4"/>
  <c r="J82" i="4"/>
  <c r="I82" i="4"/>
  <c r="H82" i="4"/>
  <c r="G82" i="4"/>
  <c r="F82" i="4"/>
  <c r="E82" i="4"/>
  <c r="D82" i="4"/>
  <c r="C82" i="4"/>
  <c r="B82" i="4"/>
  <c r="A82" i="4"/>
  <c r="L81" i="4"/>
  <c r="K81" i="4"/>
  <c r="J81" i="4"/>
  <c r="I81" i="4"/>
  <c r="H81" i="4"/>
  <c r="G81" i="4"/>
  <c r="F81" i="4"/>
  <c r="E81" i="4"/>
  <c r="D81" i="4"/>
  <c r="C81" i="4"/>
  <c r="B81" i="4"/>
  <c r="A81" i="4"/>
  <c r="L80" i="4"/>
  <c r="K80" i="4"/>
  <c r="J80" i="4"/>
  <c r="I80" i="4"/>
  <c r="H80" i="4"/>
  <c r="G80" i="4"/>
  <c r="F80" i="4"/>
  <c r="E80" i="4"/>
  <c r="D80" i="4"/>
  <c r="C80" i="4"/>
  <c r="B80" i="4"/>
  <c r="A80" i="4"/>
  <c r="L79" i="4"/>
  <c r="K79" i="4"/>
  <c r="J79" i="4"/>
  <c r="I79" i="4"/>
  <c r="H79" i="4"/>
  <c r="G79" i="4"/>
  <c r="F79" i="4"/>
  <c r="E79" i="4"/>
  <c r="D79" i="4"/>
  <c r="C79" i="4"/>
  <c r="B79" i="4"/>
  <c r="A79" i="4"/>
  <c r="L78" i="4"/>
  <c r="K78" i="4"/>
  <c r="J78" i="4"/>
  <c r="I78" i="4"/>
  <c r="H78" i="4"/>
  <c r="G78" i="4"/>
  <c r="F78" i="4"/>
  <c r="E78" i="4"/>
  <c r="D78" i="4"/>
  <c r="C78" i="4"/>
  <c r="B78" i="4"/>
  <c r="A78" i="4"/>
  <c r="L77" i="4"/>
  <c r="K77" i="4"/>
  <c r="J77" i="4"/>
  <c r="I77" i="4"/>
  <c r="H77" i="4"/>
  <c r="G77" i="4"/>
  <c r="F77" i="4"/>
  <c r="E77" i="4"/>
  <c r="D77" i="4"/>
  <c r="C77" i="4"/>
  <c r="B77" i="4"/>
  <c r="A77" i="4"/>
  <c r="L76" i="4"/>
  <c r="K76" i="4"/>
  <c r="J76" i="4"/>
  <c r="I76" i="4"/>
  <c r="H76" i="4"/>
  <c r="G76" i="4"/>
  <c r="F76" i="4"/>
  <c r="E76" i="4"/>
  <c r="D76" i="4"/>
  <c r="C76" i="4"/>
  <c r="B76" i="4"/>
  <c r="A76" i="4"/>
  <c r="L75" i="4"/>
  <c r="K75" i="4"/>
  <c r="J75" i="4"/>
  <c r="I75" i="4"/>
  <c r="H75" i="4"/>
  <c r="G75" i="4"/>
  <c r="F75" i="4"/>
  <c r="E75" i="4"/>
  <c r="D75" i="4"/>
  <c r="C75" i="4"/>
  <c r="B75" i="4"/>
  <c r="A75" i="4"/>
  <c r="L74" i="4"/>
  <c r="K74" i="4"/>
  <c r="J74" i="4"/>
  <c r="I74" i="4"/>
  <c r="H74" i="4"/>
  <c r="G74" i="4"/>
  <c r="F74" i="4"/>
  <c r="E74" i="4"/>
  <c r="D74" i="4"/>
  <c r="C74" i="4"/>
  <c r="B74" i="4"/>
  <c r="A74" i="4"/>
  <c r="L73" i="4"/>
  <c r="K73" i="4"/>
  <c r="J73" i="4"/>
  <c r="I73" i="4"/>
  <c r="H73" i="4"/>
  <c r="G73" i="4"/>
  <c r="F73" i="4"/>
  <c r="E73" i="4"/>
  <c r="D73" i="4"/>
  <c r="C73" i="4"/>
  <c r="B73" i="4"/>
  <c r="A73" i="4"/>
  <c r="L72" i="4"/>
  <c r="K72" i="4"/>
  <c r="J72" i="4"/>
  <c r="I72" i="4"/>
  <c r="H72" i="4"/>
  <c r="G72" i="4"/>
  <c r="F72" i="4"/>
  <c r="E72" i="4"/>
  <c r="D72" i="4"/>
  <c r="C72" i="4"/>
  <c r="B72" i="4"/>
  <c r="A72" i="4"/>
  <c r="L71" i="4"/>
  <c r="K71" i="4"/>
  <c r="J71" i="4"/>
  <c r="I71" i="4"/>
  <c r="H71" i="4"/>
  <c r="G71" i="4"/>
  <c r="F71" i="4"/>
  <c r="E71" i="4"/>
  <c r="D71" i="4"/>
  <c r="C71" i="4"/>
  <c r="B71" i="4"/>
  <c r="A71" i="4"/>
  <c r="L70" i="4"/>
  <c r="K70" i="4"/>
  <c r="J70" i="4"/>
  <c r="I70" i="4"/>
  <c r="H70" i="4"/>
  <c r="G70" i="4"/>
  <c r="F70" i="4"/>
  <c r="E70" i="4"/>
  <c r="D70" i="4"/>
  <c r="C70" i="4"/>
  <c r="B70" i="4"/>
  <c r="A70" i="4"/>
  <c r="L69" i="4"/>
  <c r="K69" i="4"/>
  <c r="J69" i="4"/>
  <c r="I69" i="4"/>
  <c r="H69" i="4"/>
  <c r="G69" i="4"/>
  <c r="F69" i="4"/>
  <c r="E69" i="4"/>
  <c r="D69" i="4"/>
  <c r="C69" i="4"/>
  <c r="B69" i="4"/>
  <c r="A69" i="4"/>
  <c r="L68" i="4"/>
  <c r="K68" i="4"/>
  <c r="J68" i="4"/>
  <c r="I68" i="4"/>
  <c r="H68" i="4"/>
  <c r="G68" i="4"/>
  <c r="F68" i="4"/>
  <c r="E68" i="4"/>
  <c r="D68" i="4"/>
  <c r="C68" i="4"/>
  <c r="B68" i="4"/>
  <c r="A68" i="4"/>
  <c r="L67" i="4"/>
  <c r="K67" i="4"/>
  <c r="J67" i="4"/>
  <c r="I67" i="4"/>
  <c r="H67" i="4"/>
  <c r="G67" i="4"/>
  <c r="F67" i="4"/>
  <c r="E67" i="4"/>
  <c r="D67" i="4"/>
  <c r="C67" i="4"/>
  <c r="B67" i="4"/>
  <c r="A67" i="4"/>
  <c r="L66" i="4"/>
  <c r="K66" i="4"/>
  <c r="J66" i="4"/>
  <c r="I66" i="4"/>
  <c r="H66" i="4"/>
  <c r="G66" i="4"/>
  <c r="F66" i="4"/>
  <c r="E66" i="4"/>
  <c r="D66" i="4"/>
  <c r="C66" i="4"/>
  <c r="B66" i="4"/>
  <c r="A66" i="4"/>
  <c r="L65" i="4"/>
  <c r="K65" i="4"/>
  <c r="J65" i="4"/>
  <c r="I65" i="4"/>
  <c r="H65" i="4"/>
  <c r="G65" i="4"/>
  <c r="F65" i="4"/>
  <c r="E65" i="4"/>
  <c r="D65" i="4"/>
  <c r="C65" i="4"/>
  <c r="B65" i="4"/>
  <c r="A65" i="4"/>
  <c r="L64" i="4"/>
  <c r="K64" i="4"/>
  <c r="J64" i="4"/>
  <c r="I64" i="4"/>
  <c r="H64" i="4"/>
  <c r="G64" i="4"/>
  <c r="F64" i="4"/>
  <c r="E64" i="4"/>
  <c r="D64" i="4"/>
  <c r="C64" i="4"/>
  <c r="B64" i="4"/>
  <c r="A64" i="4"/>
  <c r="L63" i="4"/>
  <c r="K63" i="4"/>
  <c r="J63" i="4"/>
  <c r="I63" i="4"/>
  <c r="H63" i="4"/>
  <c r="G63" i="4"/>
  <c r="F63" i="4"/>
  <c r="E63" i="4"/>
  <c r="D63" i="4"/>
  <c r="C63" i="4"/>
  <c r="B63" i="4"/>
  <c r="A63" i="4"/>
  <c r="L62" i="4"/>
  <c r="K62" i="4"/>
  <c r="J62" i="4"/>
  <c r="I62" i="4"/>
  <c r="H62" i="4"/>
  <c r="G62" i="4"/>
  <c r="F62" i="4"/>
  <c r="E62" i="4"/>
  <c r="D62" i="4"/>
  <c r="C62" i="4"/>
  <c r="B62" i="4"/>
  <c r="A62" i="4"/>
  <c r="L61" i="4"/>
  <c r="K61" i="4"/>
  <c r="J61" i="4"/>
  <c r="I61" i="4"/>
  <c r="H61" i="4"/>
  <c r="G61" i="4"/>
  <c r="F61" i="4"/>
  <c r="E61" i="4"/>
  <c r="D61" i="4"/>
  <c r="C61" i="4"/>
  <c r="B61" i="4"/>
  <c r="A61" i="4"/>
  <c r="L60" i="4"/>
  <c r="K60" i="4"/>
  <c r="J60" i="4"/>
  <c r="I60" i="4"/>
  <c r="H60" i="4"/>
  <c r="G60" i="4"/>
  <c r="F60" i="4"/>
  <c r="E60" i="4"/>
  <c r="D60" i="4"/>
  <c r="C60" i="4"/>
  <c r="B60" i="4"/>
  <c r="A60" i="4"/>
  <c r="L59" i="4"/>
  <c r="K59" i="4"/>
  <c r="J59" i="4"/>
  <c r="I59" i="4"/>
  <c r="H59" i="4"/>
  <c r="G59" i="4"/>
  <c r="F59" i="4"/>
  <c r="E59" i="4"/>
  <c r="D59" i="4"/>
  <c r="C59" i="4"/>
  <c r="B59" i="4"/>
  <c r="A59" i="4"/>
  <c r="L58" i="4"/>
  <c r="K58" i="4"/>
  <c r="J58" i="4"/>
  <c r="I58" i="4"/>
  <c r="H58" i="4"/>
  <c r="G58" i="4"/>
  <c r="F58" i="4"/>
  <c r="E58" i="4"/>
  <c r="D58" i="4"/>
  <c r="C58" i="4"/>
  <c r="B58" i="4"/>
  <c r="A58" i="4"/>
  <c r="L57" i="4"/>
  <c r="K57" i="4"/>
  <c r="J57" i="4"/>
  <c r="I57" i="4"/>
  <c r="H57" i="4"/>
  <c r="G57" i="4"/>
  <c r="F57" i="4"/>
  <c r="E57" i="4"/>
  <c r="D57" i="4"/>
  <c r="C57" i="4"/>
  <c r="B57" i="4"/>
  <c r="A57" i="4"/>
  <c r="L56" i="4"/>
  <c r="K56" i="4"/>
  <c r="J56" i="4"/>
  <c r="I56" i="4"/>
  <c r="H56" i="4"/>
  <c r="G56" i="4"/>
  <c r="F56" i="4"/>
  <c r="E56" i="4"/>
  <c r="D56" i="4"/>
  <c r="C56" i="4"/>
  <c r="B56" i="4"/>
  <c r="A56" i="4"/>
  <c r="L55" i="4"/>
  <c r="K55" i="4"/>
  <c r="J55" i="4"/>
  <c r="I55" i="4"/>
  <c r="H55" i="4"/>
  <c r="G55" i="4"/>
  <c r="F55" i="4"/>
  <c r="E55" i="4"/>
  <c r="D55" i="4"/>
  <c r="C55" i="4"/>
  <c r="B55" i="4"/>
  <c r="A55" i="4"/>
  <c r="L54" i="4"/>
  <c r="K54" i="4"/>
  <c r="J54" i="4"/>
  <c r="I54" i="4"/>
  <c r="H54" i="4"/>
  <c r="G54" i="4"/>
  <c r="F54" i="4"/>
  <c r="E54" i="4"/>
  <c r="D54" i="4"/>
  <c r="C54" i="4"/>
  <c r="B54" i="4"/>
  <c r="A54" i="4"/>
  <c r="L53" i="4"/>
  <c r="K53" i="4"/>
  <c r="J53" i="4"/>
  <c r="I53" i="4"/>
  <c r="H53" i="4"/>
  <c r="G53" i="4"/>
  <c r="F53" i="4"/>
  <c r="E53" i="4"/>
  <c r="D53" i="4"/>
  <c r="C53" i="4"/>
  <c r="B53" i="4"/>
  <c r="A53" i="4"/>
  <c r="L52" i="4"/>
  <c r="K52" i="4"/>
  <c r="J52" i="4"/>
  <c r="I52" i="4"/>
  <c r="H52" i="4"/>
  <c r="G52" i="4"/>
  <c r="F52" i="4"/>
  <c r="E52" i="4"/>
  <c r="D52" i="4"/>
  <c r="C52" i="4"/>
  <c r="B52" i="4"/>
  <c r="A52" i="4"/>
  <c r="L51" i="4"/>
  <c r="K51" i="4"/>
  <c r="J51" i="4"/>
  <c r="I51" i="4"/>
  <c r="H51" i="4"/>
  <c r="G51" i="4"/>
  <c r="F51" i="4"/>
  <c r="E51" i="4"/>
  <c r="D51" i="4"/>
  <c r="C51" i="4"/>
  <c r="B51" i="4"/>
  <c r="A51" i="4"/>
  <c r="L50" i="4"/>
  <c r="K50" i="4"/>
  <c r="J50" i="4"/>
  <c r="I50" i="4"/>
  <c r="H50" i="4"/>
  <c r="G50" i="4"/>
  <c r="F50" i="4"/>
  <c r="E50" i="4"/>
  <c r="D50" i="4"/>
  <c r="C50" i="4"/>
  <c r="B50" i="4"/>
  <c r="A50" i="4"/>
  <c r="L49" i="4"/>
  <c r="K49" i="4"/>
  <c r="J49" i="4"/>
  <c r="I49" i="4"/>
  <c r="H49" i="4"/>
  <c r="G49" i="4"/>
  <c r="F49" i="4"/>
  <c r="E49" i="4"/>
  <c r="D49" i="4"/>
  <c r="C49" i="4"/>
  <c r="B49" i="4"/>
  <c r="A49" i="4"/>
  <c r="L48" i="4"/>
  <c r="K48" i="4"/>
  <c r="J48" i="4"/>
  <c r="I48" i="4"/>
  <c r="H48" i="4"/>
  <c r="G48" i="4"/>
  <c r="F48" i="4"/>
  <c r="E48" i="4"/>
  <c r="D48" i="4"/>
  <c r="C48" i="4"/>
  <c r="B48" i="4"/>
  <c r="A48" i="4"/>
  <c r="L47" i="4"/>
  <c r="K47" i="4"/>
  <c r="J47" i="4"/>
  <c r="I47" i="4"/>
  <c r="H47" i="4"/>
  <c r="G47" i="4"/>
  <c r="F47" i="4"/>
  <c r="E47" i="4"/>
  <c r="D47" i="4"/>
  <c r="C47" i="4"/>
  <c r="B47" i="4"/>
  <c r="A47" i="4"/>
  <c r="L46" i="4"/>
  <c r="K46" i="4"/>
  <c r="J46" i="4"/>
  <c r="I46" i="4"/>
  <c r="H46" i="4"/>
  <c r="G46" i="4"/>
  <c r="F46" i="4"/>
  <c r="E46" i="4"/>
  <c r="D46" i="4"/>
  <c r="C46" i="4"/>
  <c r="B46" i="4"/>
  <c r="A46" i="4"/>
  <c r="L45" i="4"/>
  <c r="K45" i="4"/>
  <c r="J45" i="4"/>
  <c r="I45" i="4"/>
  <c r="H45" i="4"/>
  <c r="G45" i="4"/>
  <c r="F45" i="4"/>
  <c r="E45" i="4"/>
  <c r="D45" i="4"/>
  <c r="C45" i="4"/>
  <c r="B45" i="4"/>
  <c r="A45" i="4"/>
  <c r="L44" i="4"/>
  <c r="K44" i="4"/>
  <c r="J44" i="4"/>
  <c r="I44" i="4"/>
  <c r="H44" i="4"/>
  <c r="G44" i="4"/>
  <c r="F44" i="4"/>
  <c r="E44" i="4"/>
  <c r="D44" i="4"/>
  <c r="C44" i="4"/>
  <c r="B44" i="4"/>
  <c r="A44" i="4"/>
  <c r="L43" i="4"/>
  <c r="K43" i="4"/>
  <c r="J43" i="4"/>
  <c r="I43" i="4"/>
  <c r="H43" i="4"/>
  <c r="G43" i="4"/>
  <c r="F43" i="4"/>
  <c r="E43" i="4"/>
  <c r="D43" i="4"/>
  <c r="C43" i="4"/>
  <c r="B43" i="4"/>
  <c r="A43" i="4"/>
  <c r="L42" i="4"/>
  <c r="K42" i="4"/>
  <c r="J42" i="4"/>
  <c r="I42" i="4"/>
  <c r="H42" i="4"/>
  <c r="G42" i="4"/>
  <c r="F42" i="4"/>
  <c r="E42" i="4"/>
  <c r="D42" i="4"/>
  <c r="C42" i="4"/>
  <c r="B42" i="4"/>
  <c r="A42" i="4"/>
  <c r="L41" i="4"/>
  <c r="K41" i="4"/>
  <c r="J41" i="4"/>
  <c r="I41" i="4"/>
  <c r="H41" i="4"/>
  <c r="G41" i="4"/>
  <c r="F41" i="4"/>
  <c r="E41" i="4"/>
  <c r="D41" i="4"/>
  <c r="C41" i="4"/>
  <c r="B41" i="4"/>
  <c r="A41" i="4"/>
  <c r="L40" i="4"/>
  <c r="K40" i="4"/>
  <c r="J40" i="4"/>
  <c r="I40" i="4"/>
  <c r="H40" i="4"/>
  <c r="G40" i="4"/>
  <c r="F40" i="4"/>
  <c r="E40" i="4"/>
  <c r="D40" i="4"/>
  <c r="C40" i="4"/>
  <c r="B40" i="4"/>
  <c r="A40" i="4"/>
  <c r="L39" i="4"/>
  <c r="K39" i="4"/>
  <c r="J39" i="4"/>
  <c r="I39" i="4"/>
  <c r="H39" i="4"/>
  <c r="G39" i="4"/>
  <c r="F39" i="4"/>
  <c r="E39" i="4"/>
  <c r="D39" i="4"/>
  <c r="C39" i="4"/>
  <c r="B39" i="4"/>
  <c r="A39" i="4"/>
  <c r="L38" i="4"/>
  <c r="K38" i="4"/>
  <c r="J38" i="4"/>
  <c r="I38" i="4"/>
  <c r="H38" i="4"/>
  <c r="G38" i="4"/>
  <c r="F38" i="4"/>
  <c r="E38" i="4"/>
  <c r="D38" i="4"/>
  <c r="C38" i="4"/>
  <c r="B38" i="4"/>
  <c r="A38" i="4"/>
  <c r="L37" i="4"/>
  <c r="K37" i="4"/>
  <c r="J37" i="4"/>
  <c r="I37" i="4"/>
  <c r="H37" i="4"/>
  <c r="G37" i="4"/>
  <c r="F37" i="4"/>
  <c r="E37" i="4"/>
  <c r="D37" i="4"/>
  <c r="C37" i="4"/>
  <c r="B37" i="4"/>
  <c r="A37" i="4"/>
  <c r="L36" i="4"/>
  <c r="K36" i="4"/>
  <c r="J36" i="4"/>
  <c r="I36" i="4"/>
  <c r="H36" i="4"/>
  <c r="G36" i="4"/>
  <c r="F36" i="4"/>
  <c r="E36" i="4"/>
  <c r="D36" i="4"/>
  <c r="C36" i="4"/>
  <c r="B36" i="4"/>
  <c r="A36" i="4"/>
  <c r="L35" i="4"/>
  <c r="K35" i="4"/>
  <c r="J35" i="4"/>
  <c r="I35" i="4"/>
  <c r="H35" i="4"/>
  <c r="G35" i="4"/>
  <c r="F35" i="4"/>
  <c r="E35" i="4"/>
  <c r="D35" i="4"/>
  <c r="C35" i="4"/>
  <c r="B35" i="4"/>
  <c r="A35" i="4"/>
  <c r="L34" i="4"/>
  <c r="K34" i="4"/>
  <c r="J34" i="4"/>
  <c r="I34" i="4"/>
  <c r="H34" i="4"/>
  <c r="G34" i="4"/>
  <c r="F34" i="4"/>
  <c r="E34" i="4"/>
  <c r="D34" i="4"/>
  <c r="C34" i="4"/>
  <c r="B34" i="4"/>
  <c r="A34" i="4"/>
  <c r="L33" i="4"/>
  <c r="K33" i="4"/>
  <c r="J33" i="4"/>
  <c r="I33" i="4"/>
  <c r="H33" i="4"/>
  <c r="G33" i="4"/>
  <c r="F33" i="4"/>
  <c r="E33" i="4"/>
  <c r="D33" i="4"/>
  <c r="C33" i="4"/>
  <c r="B33" i="4"/>
  <c r="A33" i="4"/>
  <c r="L32" i="4"/>
  <c r="K32" i="4"/>
  <c r="J32" i="4"/>
  <c r="I32" i="4"/>
  <c r="H32" i="4"/>
  <c r="G32" i="4"/>
  <c r="F32" i="4"/>
  <c r="E32" i="4"/>
  <c r="D32" i="4"/>
  <c r="C32" i="4"/>
  <c r="B32" i="4"/>
  <c r="A32" i="4"/>
  <c r="L31" i="4"/>
  <c r="K31" i="4"/>
  <c r="J31" i="4"/>
  <c r="I31" i="4"/>
  <c r="H31" i="4"/>
  <c r="G31" i="4"/>
  <c r="F31" i="4"/>
  <c r="E31" i="4"/>
  <c r="D31" i="4"/>
  <c r="C31" i="4"/>
  <c r="B31" i="4"/>
  <c r="A31" i="4"/>
  <c r="L30" i="4"/>
  <c r="K30" i="4"/>
  <c r="J30" i="4"/>
  <c r="I30" i="4"/>
  <c r="H30" i="4"/>
  <c r="G30" i="4"/>
  <c r="F30" i="4"/>
  <c r="E30" i="4"/>
  <c r="D30" i="4"/>
  <c r="C30" i="4"/>
  <c r="B30" i="4"/>
  <c r="A30" i="4"/>
  <c r="L29" i="4"/>
  <c r="K29" i="4"/>
  <c r="J29" i="4"/>
  <c r="I29" i="4"/>
  <c r="H29" i="4"/>
  <c r="G29" i="4"/>
  <c r="F29" i="4"/>
  <c r="E29" i="4"/>
  <c r="D29" i="4"/>
  <c r="C29" i="4"/>
  <c r="B29" i="4"/>
  <c r="A29" i="4"/>
  <c r="L28" i="4"/>
  <c r="K28" i="4"/>
  <c r="J28" i="4"/>
  <c r="I28" i="4"/>
  <c r="H28" i="4"/>
  <c r="G28" i="4"/>
  <c r="F28" i="4"/>
  <c r="E28" i="4"/>
  <c r="D28" i="4"/>
  <c r="C28" i="4"/>
  <c r="B28" i="4"/>
  <c r="A28" i="4"/>
  <c r="L27" i="4"/>
  <c r="K27" i="4"/>
  <c r="J27" i="4"/>
  <c r="I27" i="4"/>
  <c r="H27" i="4"/>
  <c r="G27" i="4"/>
  <c r="F27" i="4"/>
  <c r="E27" i="4"/>
  <c r="D27" i="4"/>
  <c r="C27" i="4"/>
  <c r="B27" i="4"/>
  <c r="A27" i="4"/>
  <c r="L26" i="4"/>
  <c r="K26" i="4"/>
  <c r="J26" i="4"/>
  <c r="I26" i="4"/>
  <c r="H26" i="4"/>
  <c r="G26" i="4"/>
  <c r="F26" i="4"/>
  <c r="E26" i="4"/>
  <c r="D26" i="4"/>
  <c r="C26" i="4"/>
  <c r="B26" i="4"/>
  <c r="A26" i="4"/>
  <c r="L25" i="4"/>
  <c r="K25" i="4"/>
  <c r="J25" i="4"/>
  <c r="I25" i="4"/>
  <c r="H25" i="4"/>
  <c r="G25" i="4"/>
  <c r="F25" i="4"/>
  <c r="E25" i="4"/>
  <c r="D25" i="4"/>
  <c r="C25" i="4"/>
  <c r="B25" i="4"/>
  <c r="A25" i="4"/>
  <c r="L24" i="4"/>
  <c r="K24" i="4"/>
  <c r="J24" i="4"/>
  <c r="I24" i="4"/>
  <c r="H24" i="4"/>
  <c r="G24" i="4"/>
  <c r="F24" i="4"/>
  <c r="E24" i="4"/>
  <c r="D24" i="4"/>
  <c r="C24" i="4"/>
  <c r="B24" i="4"/>
  <c r="A24" i="4"/>
  <c r="L23" i="4"/>
  <c r="K23" i="4"/>
  <c r="J23" i="4"/>
  <c r="I23" i="4"/>
  <c r="H23" i="4"/>
  <c r="G23" i="4"/>
  <c r="F23" i="4"/>
  <c r="E23" i="4"/>
  <c r="D23" i="4"/>
  <c r="C23" i="4"/>
  <c r="B23" i="4"/>
  <c r="A23" i="4"/>
  <c r="L22" i="4"/>
  <c r="K22" i="4"/>
  <c r="J22" i="4"/>
  <c r="I22" i="4"/>
  <c r="H22" i="4"/>
  <c r="G22" i="4"/>
  <c r="F22" i="4"/>
  <c r="E22" i="4"/>
  <c r="D22" i="4"/>
  <c r="C22" i="4"/>
  <c r="B22" i="4"/>
  <c r="A22" i="4"/>
  <c r="L21" i="4"/>
  <c r="K21" i="4"/>
  <c r="J21" i="4"/>
  <c r="I21" i="4"/>
  <c r="H21" i="4"/>
  <c r="G21" i="4"/>
  <c r="F21" i="4"/>
  <c r="E21" i="4"/>
  <c r="D21" i="4"/>
  <c r="C21" i="4"/>
  <c r="B21" i="4"/>
  <c r="A21" i="4"/>
  <c r="L20" i="4"/>
  <c r="K20" i="4"/>
  <c r="J20" i="4"/>
  <c r="I20" i="4"/>
  <c r="H20" i="4"/>
  <c r="G20" i="4"/>
  <c r="F20" i="4"/>
  <c r="E20" i="4"/>
  <c r="D20" i="4"/>
  <c r="C20" i="4"/>
  <c r="B20" i="4"/>
  <c r="A20" i="4"/>
  <c r="L19" i="4"/>
  <c r="K19" i="4"/>
  <c r="J19" i="4"/>
  <c r="I19" i="4"/>
  <c r="H19" i="4"/>
  <c r="G19" i="4"/>
  <c r="F19" i="4"/>
  <c r="E19" i="4"/>
  <c r="D19" i="4"/>
  <c r="C19" i="4"/>
  <c r="B19" i="4"/>
  <c r="A19" i="4"/>
  <c r="L18" i="4"/>
  <c r="K18" i="4"/>
  <c r="J18" i="4"/>
  <c r="I18" i="4"/>
  <c r="H18" i="4"/>
  <c r="G18" i="4"/>
  <c r="F18" i="4"/>
  <c r="E18" i="4"/>
  <c r="D18" i="4"/>
  <c r="C18" i="4"/>
  <c r="B18" i="4"/>
  <c r="A18" i="4"/>
  <c r="L17" i="4"/>
  <c r="K17" i="4"/>
  <c r="J17" i="4"/>
  <c r="I17" i="4"/>
  <c r="H17" i="4"/>
  <c r="G17" i="4"/>
  <c r="F17" i="4"/>
  <c r="E17" i="4"/>
  <c r="D17" i="4"/>
  <c r="C17" i="4"/>
  <c r="B17" i="4"/>
  <c r="A17" i="4"/>
  <c r="L16" i="4"/>
  <c r="K16" i="4"/>
  <c r="J16" i="4"/>
  <c r="I16" i="4"/>
  <c r="H16" i="4"/>
  <c r="G16" i="4"/>
  <c r="F16" i="4"/>
  <c r="E16" i="4"/>
  <c r="D16" i="4"/>
  <c r="C16" i="4"/>
  <c r="B16" i="4"/>
  <c r="A16" i="4"/>
  <c r="L15" i="4"/>
  <c r="K15" i="4"/>
  <c r="J15" i="4"/>
  <c r="I15" i="4"/>
  <c r="H15" i="4"/>
  <c r="G15" i="4"/>
  <c r="F15" i="4"/>
  <c r="E15" i="4"/>
  <c r="D15" i="4"/>
  <c r="C15" i="4"/>
  <c r="B15" i="4"/>
  <c r="A15" i="4"/>
  <c r="L14" i="4"/>
  <c r="K14" i="4"/>
  <c r="J14" i="4"/>
  <c r="I14" i="4"/>
  <c r="H14" i="4"/>
  <c r="G14" i="4"/>
  <c r="F14" i="4"/>
  <c r="E14" i="4"/>
  <c r="D14" i="4"/>
  <c r="C14" i="4"/>
  <c r="B14" i="4"/>
  <c r="A14" i="4"/>
  <c r="L13" i="4"/>
  <c r="K13" i="4"/>
  <c r="J13" i="4"/>
  <c r="I13" i="4"/>
  <c r="H13" i="4"/>
  <c r="G13" i="4"/>
  <c r="F13" i="4"/>
  <c r="E13" i="4"/>
  <c r="D13" i="4"/>
  <c r="C13" i="4"/>
  <c r="B13" i="4"/>
  <c r="A13" i="4"/>
  <c r="L12" i="4"/>
  <c r="K12" i="4"/>
  <c r="J12" i="4"/>
  <c r="I12" i="4"/>
  <c r="H12" i="4"/>
  <c r="G12" i="4"/>
  <c r="F12" i="4"/>
  <c r="E12" i="4"/>
  <c r="D12" i="4"/>
  <c r="C12" i="4"/>
  <c r="B12" i="4"/>
  <c r="A12" i="4"/>
  <c r="L11" i="4"/>
  <c r="K11" i="4"/>
  <c r="J11" i="4"/>
  <c r="I11" i="4"/>
  <c r="H11" i="4"/>
  <c r="G11" i="4"/>
  <c r="F11" i="4"/>
  <c r="E11" i="4"/>
  <c r="D11" i="4"/>
  <c r="C11" i="4"/>
  <c r="B11" i="4"/>
  <c r="A11" i="4"/>
  <c r="L10" i="4"/>
  <c r="K10" i="4"/>
  <c r="J10" i="4"/>
  <c r="I10" i="4"/>
  <c r="H10" i="4"/>
  <c r="G10" i="4"/>
  <c r="F10" i="4"/>
  <c r="E10" i="4"/>
  <c r="D10" i="4"/>
  <c r="C10" i="4"/>
  <c r="B10" i="4"/>
  <c r="A10" i="4"/>
  <c r="L9" i="4"/>
  <c r="K9" i="4"/>
  <c r="J9" i="4"/>
  <c r="I9" i="4"/>
  <c r="H9" i="4"/>
  <c r="G9" i="4"/>
  <c r="F9" i="4"/>
  <c r="E9" i="4"/>
  <c r="D9" i="4"/>
  <c r="C9" i="4"/>
  <c r="B9" i="4"/>
  <c r="A9" i="4"/>
  <c r="L8" i="4"/>
  <c r="K8" i="4"/>
  <c r="J8" i="4"/>
  <c r="I8" i="4"/>
  <c r="H8" i="4"/>
  <c r="G8" i="4"/>
  <c r="F8" i="4"/>
  <c r="E8" i="4"/>
  <c r="D8" i="4"/>
  <c r="C8" i="4"/>
  <c r="B8" i="4"/>
  <c r="A8" i="4"/>
  <c r="L7" i="4"/>
  <c r="K7" i="4"/>
  <c r="J7" i="4"/>
  <c r="I7" i="4"/>
  <c r="H7" i="4"/>
  <c r="G7" i="4"/>
  <c r="F7" i="4"/>
  <c r="E7" i="4"/>
  <c r="D7" i="4"/>
  <c r="C7" i="4"/>
  <c r="B7" i="4"/>
  <c r="A7" i="4"/>
  <c r="L6" i="4"/>
  <c r="K6" i="4"/>
  <c r="J6" i="4"/>
  <c r="I6" i="4"/>
  <c r="H6" i="4"/>
  <c r="G6" i="4"/>
  <c r="F6" i="4"/>
  <c r="E6" i="4"/>
  <c r="D6" i="4"/>
  <c r="C6" i="4"/>
  <c r="B6" i="4"/>
  <c r="A6" i="4"/>
  <c r="L5" i="4"/>
  <c r="K5" i="4"/>
  <c r="J5" i="4"/>
  <c r="I5" i="4"/>
  <c r="H5" i="4"/>
  <c r="G5" i="4"/>
  <c r="F5" i="4"/>
  <c r="E5" i="4"/>
  <c r="D5" i="4"/>
  <c r="C5" i="4"/>
  <c r="B5" i="4"/>
  <c r="A5" i="4"/>
  <c r="L4" i="4"/>
  <c r="K4" i="4"/>
  <c r="J4" i="4"/>
  <c r="I4" i="4"/>
  <c r="H4" i="4"/>
  <c r="G4" i="4"/>
  <c r="F4" i="4"/>
  <c r="E4" i="4"/>
  <c r="D4" i="4"/>
  <c r="C4" i="4"/>
  <c r="B4" i="4"/>
  <c r="A4" i="4"/>
  <c r="L3" i="4"/>
  <c r="K3" i="4"/>
  <c r="J3" i="4"/>
  <c r="I3" i="4"/>
  <c r="H3" i="4"/>
  <c r="G3" i="4"/>
  <c r="F3" i="4"/>
  <c r="E3" i="4"/>
  <c r="D3" i="4"/>
  <c r="C3" i="4"/>
  <c r="B3" i="4"/>
  <c r="A3" i="4"/>
  <c r="L2" i="4"/>
  <c r="K2" i="4"/>
  <c r="J2" i="4"/>
  <c r="I2" i="4"/>
  <c r="H2" i="4"/>
  <c r="G2" i="4"/>
  <c r="F2" i="4"/>
  <c r="E2" i="4"/>
  <c r="D2" i="4"/>
  <c r="C2" i="4"/>
  <c r="B2" i="4"/>
  <c r="A2" i="4"/>
  <c r="L1" i="4"/>
  <c r="K1" i="4"/>
  <c r="J1" i="4"/>
  <c r="I1" i="4"/>
  <c r="H1" i="4"/>
  <c r="G1" i="4"/>
  <c r="F1" i="4"/>
  <c r="E1" i="4"/>
  <c r="D1" i="4"/>
  <c r="C1" i="4"/>
  <c r="B1" i="4"/>
  <c r="A1" i="4"/>
  <c r="L136" i="3"/>
  <c r="K136" i="3"/>
  <c r="J136" i="3"/>
  <c r="I136" i="3"/>
  <c r="H136" i="3"/>
  <c r="G136" i="3"/>
  <c r="F136" i="3"/>
  <c r="E136" i="3"/>
  <c r="D136" i="3"/>
  <c r="C136" i="3"/>
  <c r="B136" i="3"/>
  <c r="A136" i="3"/>
  <c r="L135" i="3"/>
  <c r="K135" i="3"/>
  <c r="J135" i="3"/>
  <c r="I135" i="3"/>
  <c r="H135" i="3"/>
  <c r="G135" i="3"/>
  <c r="F135" i="3"/>
  <c r="E135" i="3"/>
  <c r="D135" i="3"/>
  <c r="C135" i="3"/>
  <c r="B135" i="3"/>
  <c r="A135" i="3"/>
  <c r="L134" i="3"/>
  <c r="K134" i="3"/>
  <c r="J134" i="3"/>
  <c r="I134" i="3"/>
  <c r="H134" i="3"/>
  <c r="G134" i="3"/>
  <c r="F134" i="3"/>
  <c r="E134" i="3"/>
  <c r="D134" i="3"/>
  <c r="C134" i="3"/>
  <c r="B134" i="3"/>
  <c r="A134" i="3"/>
  <c r="L133" i="3"/>
  <c r="K133" i="3"/>
  <c r="J133" i="3"/>
  <c r="I133" i="3"/>
  <c r="H133" i="3"/>
  <c r="G133" i="3"/>
  <c r="F133" i="3"/>
  <c r="E133" i="3"/>
  <c r="D133" i="3"/>
  <c r="C133" i="3"/>
  <c r="B133" i="3"/>
  <c r="A133" i="3"/>
  <c r="L132" i="3"/>
  <c r="K132" i="3"/>
  <c r="J132" i="3"/>
  <c r="I132" i="3"/>
  <c r="H132" i="3"/>
  <c r="G132" i="3"/>
  <c r="F132" i="3"/>
  <c r="E132" i="3"/>
  <c r="D132" i="3"/>
  <c r="C132" i="3"/>
  <c r="B132" i="3"/>
  <c r="A132" i="3"/>
  <c r="L131" i="3"/>
  <c r="K131" i="3"/>
  <c r="J131" i="3"/>
  <c r="I131" i="3"/>
  <c r="H131" i="3"/>
  <c r="G131" i="3"/>
  <c r="F131" i="3"/>
  <c r="E131" i="3"/>
  <c r="D131" i="3"/>
  <c r="C131" i="3"/>
  <c r="B131" i="3"/>
  <c r="A131" i="3"/>
  <c r="L130" i="3"/>
  <c r="K130" i="3"/>
  <c r="J130" i="3"/>
  <c r="I130" i="3"/>
  <c r="H130" i="3"/>
  <c r="G130" i="3"/>
  <c r="F130" i="3"/>
  <c r="E130" i="3"/>
  <c r="D130" i="3"/>
  <c r="C130" i="3"/>
  <c r="B130" i="3"/>
  <c r="A130" i="3"/>
  <c r="L129" i="3"/>
  <c r="K129" i="3"/>
  <c r="J129" i="3"/>
  <c r="I129" i="3"/>
  <c r="H129" i="3"/>
  <c r="G129" i="3"/>
  <c r="F129" i="3"/>
  <c r="E129" i="3"/>
  <c r="D129" i="3"/>
  <c r="C129" i="3"/>
  <c r="B129" i="3"/>
  <c r="A129" i="3"/>
  <c r="L128" i="3"/>
  <c r="K128" i="3"/>
  <c r="J128" i="3"/>
  <c r="I128" i="3"/>
  <c r="H128" i="3"/>
  <c r="G128" i="3"/>
  <c r="F128" i="3"/>
  <c r="E128" i="3"/>
  <c r="D128" i="3"/>
  <c r="C128" i="3"/>
  <c r="B128" i="3"/>
  <c r="A128" i="3"/>
  <c r="L127" i="3"/>
  <c r="K127" i="3"/>
  <c r="J127" i="3"/>
  <c r="I127" i="3"/>
  <c r="H127" i="3"/>
  <c r="G127" i="3"/>
  <c r="F127" i="3"/>
  <c r="E127" i="3"/>
  <c r="D127" i="3"/>
  <c r="C127" i="3"/>
  <c r="B127" i="3"/>
  <c r="A127" i="3"/>
  <c r="L126" i="3"/>
  <c r="K126" i="3"/>
  <c r="J126" i="3"/>
  <c r="I126" i="3"/>
  <c r="H126" i="3"/>
  <c r="G126" i="3"/>
  <c r="F126" i="3"/>
  <c r="E126" i="3"/>
  <c r="D126" i="3"/>
  <c r="C126" i="3"/>
  <c r="B126" i="3"/>
  <c r="A126" i="3"/>
  <c r="L125" i="3"/>
  <c r="K125" i="3"/>
  <c r="J125" i="3"/>
  <c r="I125" i="3"/>
  <c r="H125" i="3"/>
  <c r="G125" i="3"/>
  <c r="F125" i="3"/>
  <c r="E125" i="3"/>
  <c r="D125" i="3"/>
  <c r="C125" i="3"/>
  <c r="B125" i="3"/>
  <c r="A125" i="3"/>
  <c r="L124" i="3"/>
  <c r="K124" i="3"/>
  <c r="J124" i="3"/>
  <c r="I124" i="3"/>
  <c r="H124" i="3"/>
  <c r="G124" i="3"/>
  <c r="F124" i="3"/>
  <c r="E124" i="3"/>
  <c r="D124" i="3"/>
  <c r="C124" i="3"/>
  <c r="B124" i="3"/>
  <c r="A124" i="3"/>
  <c r="L123" i="3"/>
  <c r="K123" i="3"/>
  <c r="J123" i="3"/>
  <c r="I123" i="3"/>
  <c r="H123" i="3"/>
  <c r="G123" i="3"/>
  <c r="F123" i="3"/>
  <c r="E123" i="3"/>
  <c r="D123" i="3"/>
  <c r="C123" i="3"/>
  <c r="B123" i="3"/>
  <c r="A123" i="3"/>
  <c r="L122" i="3"/>
  <c r="K122" i="3"/>
  <c r="J122" i="3"/>
  <c r="I122" i="3"/>
  <c r="H122" i="3"/>
  <c r="G122" i="3"/>
  <c r="F122" i="3"/>
  <c r="E122" i="3"/>
  <c r="D122" i="3"/>
  <c r="C122" i="3"/>
  <c r="B122" i="3"/>
  <c r="A122" i="3"/>
  <c r="L121" i="3"/>
  <c r="K121" i="3"/>
  <c r="J121" i="3"/>
  <c r="I121" i="3"/>
  <c r="H121" i="3"/>
  <c r="G121" i="3"/>
  <c r="F121" i="3"/>
  <c r="E121" i="3"/>
  <c r="D121" i="3"/>
  <c r="C121" i="3"/>
  <c r="B121" i="3"/>
  <c r="A121" i="3"/>
  <c r="L120" i="3"/>
  <c r="K120" i="3"/>
  <c r="J120" i="3"/>
  <c r="I120" i="3"/>
  <c r="H120" i="3"/>
  <c r="G120" i="3"/>
  <c r="F120" i="3"/>
  <c r="E120" i="3"/>
  <c r="D120" i="3"/>
  <c r="C120" i="3"/>
  <c r="B120" i="3"/>
  <c r="A120" i="3"/>
  <c r="L119" i="3"/>
  <c r="K119" i="3"/>
  <c r="J119" i="3"/>
  <c r="I119" i="3"/>
  <c r="H119" i="3"/>
  <c r="G119" i="3"/>
  <c r="F119" i="3"/>
  <c r="E119" i="3"/>
  <c r="D119" i="3"/>
  <c r="C119" i="3"/>
  <c r="B119" i="3"/>
  <c r="A119" i="3"/>
  <c r="L118" i="3"/>
  <c r="K118" i="3"/>
  <c r="J118" i="3"/>
  <c r="I118" i="3"/>
  <c r="H118" i="3"/>
  <c r="G118" i="3"/>
  <c r="F118" i="3"/>
  <c r="E118" i="3"/>
  <c r="D118" i="3"/>
  <c r="C118" i="3"/>
  <c r="B118" i="3"/>
  <c r="A118" i="3"/>
  <c r="L117" i="3"/>
  <c r="K117" i="3"/>
  <c r="J117" i="3"/>
  <c r="I117" i="3"/>
  <c r="H117" i="3"/>
  <c r="G117" i="3"/>
  <c r="F117" i="3"/>
  <c r="E117" i="3"/>
  <c r="D117" i="3"/>
  <c r="C117" i="3"/>
  <c r="B117" i="3"/>
  <c r="A117" i="3"/>
  <c r="L116" i="3"/>
  <c r="K116" i="3"/>
  <c r="J116" i="3"/>
  <c r="I116" i="3"/>
  <c r="H116" i="3"/>
  <c r="G116" i="3"/>
  <c r="F116" i="3"/>
  <c r="E116" i="3"/>
  <c r="D116" i="3"/>
  <c r="C116" i="3"/>
  <c r="B116" i="3"/>
  <c r="A116" i="3"/>
  <c r="L115" i="3"/>
  <c r="K115" i="3"/>
  <c r="J115" i="3"/>
  <c r="I115" i="3"/>
  <c r="H115" i="3"/>
  <c r="G115" i="3"/>
  <c r="F115" i="3"/>
  <c r="E115" i="3"/>
  <c r="D115" i="3"/>
  <c r="C115" i="3"/>
  <c r="B115" i="3"/>
  <c r="A115" i="3"/>
  <c r="L114" i="3"/>
  <c r="K114" i="3"/>
  <c r="J114" i="3"/>
  <c r="I114" i="3"/>
  <c r="H114" i="3"/>
  <c r="G114" i="3"/>
  <c r="F114" i="3"/>
  <c r="E114" i="3"/>
  <c r="D114" i="3"/>
  <c r="C114" i="3"/>
  <c r="B114" i="3"/>
  <c r="A114" i="3"/>
  <c r="L113" i="3"/>
  <c r="K113" i="3"/>
  <c r="J113" i="3"/>
  <c r="I113" i="3"/>
  <c r="H113" i="3"/>
  <c r="G113" i="3"/>
  <c r="F113" i="3"/>
  <c r="E113" i="3"/>
  <c r="D113" i="3"/>
  <c r="C113" i="3"/>
  <c r="B113" i="3"/>
  <c r="A113" i="3"/>
  <c r="L112" i="3"/>
  <c r="K112" i="3"/>
  <c r="J112" i="3"/>
  <c r="I112" i="3"/>
  <c r="H112" i="3"/>
  <c r="G112" i="3"/>
  <c r="F112" i="3"/>
  <c r="E112" i="3"/>
  <c r="D112" i="3"/>
  <c r="C112" i="3"/>
  <c r="B112" i="3"/>
  <c r="A112" i="3"/>
  <c r="L111" i="3"/>
  <c r="K111" i="3"/>
  <c r="J111" i="3"/>
  <c r="I111" i="3"/>
  <c r="H111" i="3"/>
  <c r="G111" i="3"/>
  <c r="F111" i="3"/>
  <c r="E111" i="3"/>
  <c r="D111" i="3"/>
  <c r="C111" i="3"/>
  <c r="B111" i="3"/>
  <c r="A111" i="3"/>
  <c r="L110" i="3"/>
  <c r="K110" i="3"/>
  <c r="J110" i="3"/>
  <c r="I110" i="3"/>
  <c r="H110" i="3"/>
  <c r="G110" i="3"/>
  <c r="F110" i="3"/>
  <c r="E110" i="3"/>
  <c r="D110" i="3"/>
  <c r="C110" i="3"/>
  <c r="B110" i="3"/>
  <c r="A110" i="3"/>
  <c r="L109" i="3"/>
  <c r="K109" i="3"/>
  <c r="J109" i="3"/>
  <c r="I109" i="3"/>
  <c r="H109" i="3"/>
  <c r="G109" i="3"/>
  <c r="F109" i="3"/>
  <c r="E109" i="3"/>
  <c r="D109" i="3"/>
  <c r="C109" i="3"/>
  <c r="B109" i="3"/>
  <c r="A109" i="3"/>
  <c r="L108" i="3"/>
  <c r="K108" i="3"/>
  <c r="J108" i="3"/>
  <c r="I108" i="3"/>
  <c r="H108" i="3"/>
  <c r="G108" i="3"/>
  <c r="F108" i="3"/>
  <c r="E108" i="3"/>
  <c r="D108" i="3"/>
  <c r="C108" i="3"/>
  <c r="B108" i="3"/>
  <c r="A108" i="3"/>
  <c r="L107" i="3"/>
  <c r="K107" i="3"/>
  <c r="J107" i="3"/>
  <c r="I107" i="3"/>
  <c r="H107" i="3"/>
  <c r="G107" i="3"/>
  <c r="F107" i="3"/>
  <c r="E107" i="3"/>
  <c r="D107" i="3"/>
  <c r="C107" i="3"/>
  <c r="B107" i="3"/>
  <c r="A107" i="3"/>
  <c r="L106" i="3"/>
  <c r="K106" i="3"/>
  <c r="J106" i="3"/>
  <c r="I106" i="3"/>
  <c r="H106" i="3"/>
  <c r="G106" i="3"/>
  <c r="F106" i="3"/>
  <c r="E106" i="3"/>
  <c r="D106" i="3"/>
  <c r="C106" i="3"/>
  <c r="B106" i="3"/>
  <c r="A106" i="3"/>
  <c r="L105" i="3"/>
  <c r="K105" i="3"/>
  <c r="J105" i="3"/>
  <c r="I105" i="3"/>
  <c r="H105" i="3"/>
  <c r="G105" i="3"/>
  <c r="F105" i="3"/>
  <c r="E105" i="3"/>
  <c r="D105" i="3"/>
  <c r="C105" i="3"/>
  <c r="B105" i="3"/>
  <c r="A105" i="3"/>
  <c r="L104" i="3"/>
  <c r="K104" i="3"/>
  <c r="J104" i="3"/>
  <c r="I104" i="3"/>
  <c r="H104" i="3"/>
  <c r="G104" i="3"/>
  <c r="F104" i="3"/>
  <c r="E104" i="3"/>
  <c r="D104" i="3"/>
  <c r="C104" i="3"/>
  <c r="B104" i="3"/>
  <c r="A104" i="3"/>
  <c r="L103" i="3"/>
  <c r="K103" i="3"/>
  <c r="J103" i="3"/>
  <c r="I103" i="3"/>
  <c r="H103" i="3"/>
  <c r="G103" i="3"/>
  <c r="F103" i="3"/>
  <c r="E103" i="3"/>
  <c r="D103" i="3"/>
  <c r="C103" i="3"/>
  <c r="B103" i="3"/>
  <c r="A103" i="3"/>
  <c r="L102" i="3"/>
  <c r="K102" i="3"/>
  <c r="J102" i="3"/>
  <c r="I102" i="3"/>
  <c r="H102" i="3"/>
  <c r="G102" i="3"/>
  <c r="F102" i="3"/>
  <c r="E102" i="3"/>
  <c r="D102" i="3"/>
  <c r="C102" i="3"/>
  <c r="B102" i="3"/>
  <c r="A102" i="3"/>
  <c r="L101" i="3"/>
  <c r="K101" i="3"/>
  <c r="J101" i="3"/>
  <c r="I101" i="3"/>
  <c r="H101" i="3"/>
  <c r="G101" i="3"/>
  <c r="F101" i="3"/>
  <c r="E101" i="3"/>
  <c r="D101" i="3"/>
  <c r="C101" i="3"/>
  <c r="B101" i="3"/>
  <c r="A101" i="3"/>
  <c r="L100" i="3"/>
  <c r="K100" i="3"/>
  <c r="J100" i="3"/>
  <c r="I100" i="3"/>
  <c r="H100" i="3"/>
  <c r="G100" i="3"/>
  <c r="F100" i="3"/>
  <c r="E100" i="3"/>
  <c r="D100" i="3"/>
  <c r="C100" i="3"/>
  <c r="B100" i="3"/>
  <c r="A100" i="3"/>
  <c r="L99" i="3"/>
  <c r="K99" i="3"/>
  <c r="J99" i="3"/>
  <c r="I99" i="3"/>
  <c r="H99" i="3"/>
  <c r="G99" i="3"/>
  <c r="F99" i="3"/>
  <c r="E99" i="3"/>
  <c r="D99" i="3"/>
  <c r="C99" i="3"/>
  <c r="B99" i="3"/>
  <c r="A99" i="3"/>
  <c r="L98" i="3"/>
  <c r="K98" i="3"/>
  <c r="J98" i="3"/>
  <c r="I98" i="3"/>
  <c r="H98" i="3"/>
  <c r="G98" i="3"/>
  <c r="F98" i="3"/>
  <c r="E98" i="3"/>
  <c r="D98" i="3"/>
  <c r="C98" i="3"/>
  <c r="B98" i="3"/>
  <c r="A98" i="3"/>
  <c r="L97" i="3"/>
  <c r="K97" i="3"/>
  <c r="J97" i="3"/>
  <c r="I97" i="3"/>
  <c r="H97" i="3"/>
  <c r="G97" i="3"/>
  <c r="F97" i="3"/>
  <c r="E97" i="3"/>
  <c r="D97" i="3"/>
  <c r="C97" i="3"/>
  <c r="B97" i="3"/>
  <c r="A97" i="3"/>
  <c r="L96" i="3"/>
  <c r="K96" i="3"/>
  <c r="J96" i="3"/>
  <c r="I96" i="3"/>
  <c r="H96" i="3"/>
  <c r="G96" i="3"/>
  <c r="F96" i="3"/>
  <c r="E96" i="3"/>
  <c r="D96" i="3"/>
  <c r="C96" i="3"/>
  <c r="B96" i="3"/>
  <c r="A96" i="3"/>
  <c r="L95" i="3"/>
  <c r="K95" i="3"/>
  <c r="J95" i="3"/>
  <c r="I95" i="3"/>
  <c r="H95" i="3"/>
  <c r="G95" i="3"/>
  <c r="F95" i="3"/>
  <c r="E95" i="3"/>
  <c r="D95" i="3"/>
  <c r="C95" i="3"/>
  <c r="B95" i="3"/>
  <c r="A95" i="3"/>
  <c r="L94" i="3"/>
  <c r="K94" i="3"/>
  <c r="J94" i="3"/>
  <c r="I94" i="3"/>
  <c r="H94" i="3"/>
  <c r="G94" i="3"/>
  <c r="F94" i="3"/>
  <c r="E94" i="3"/>
  <c r="D94" i="3"/>
  <c r="C94" i="3"/>
  <c r="B94" i="3"/>
  <c r="A94" i="3"/>
  <c r="L93" i="3"/>
  <c r="K93" i="3"/>
  <c r="J93" i="3"/>
  <c r="I93" i="3"/>
  <c r="H93" i="3"/>
  <c r="G93" i="3"/>
  <c r="F93" i="3"/>
  <c r="E93" i="3"/>
  <c r="D93" i="3"/>
  <c r="C93" i="3"/>
  <c r="B93" i="3"/>
  <c r="A93" i="3"/>
  <c r="L92" i="3"/>
  <c r="K92" i="3"/>
  <c r="J92" i="3"/>
  <c r="I92" i="3"/>
  <c r="H92" i="3"/>
  <c r="G92" i="3"/>
  <c r="F92" i="3"/>
  <c r="E92" i="3"/>
  <c r="D92" i="3"/>
  <c r="C92" i="3"/>
  <c r="B92" i="3"/>
  <c r="A92" i="3"/>
  <c r="L91" i="3"/>
  <c r="K91" i="3"/>
  <c r="J91" i="3"/>
  <c r="I91" i="3"/>
  <c r="H91" i="3"/>
  <c r="G91" i="3"/>
  <c r="F91" i="3"/>
  <c r="E91" i="3"/>
  <c r="D91" i="3"/>
  <c r="C91" i="3"/>
  <c r="B91" i="3"/>
  <c r="A91" i="3"/>
  <c r="L90" i="3"/>
  <c r="K90" i="3"/>
  <c r="J90" i="3"/>
  <c r="I90" i="3"/>
  <c r="H90" i="3"/>
  <c r="G90" i="3"/>
  <c r="F90" i="3"/>
  <c r="E90" i="3"/>
  <c r="D90" i="3"/>
  <c r="C90" i="3"/>
  <c r="B90" i="3"/>
  <c r="A90" i="3"/>
  <c r="L89" i="3"/>
  <c r="K89" i="3"/>
  <c r="J89" i="3"/>
  <c r="I89" i="3"/>
  <c r="H89" i="3"/>
  <c r="G89" i="3"/>
  <c r="F89" i="3"/>
  <c r="E89" i="3"/>
  <c r="D89" i="3"/>
  <c r="C89" i="3"/>
  <c r="B89" i="3"/>
  <c r="A89" i="3"/>
  <c r="L88" i="3"/>
  <c r="K88" i="3"/>
  <c r="J88" i="3"/>
  <c r="I88" i="3"/>
  <c r="H88" i="3"/>
  <c r="G88" i="3"/>
  <c r="F88" i="3"/>
  <c r="E88" i="3"/>
  <c r="D88" i="3"/>
  <c r="C88" i="3"/>
  <c r="B88" i="3"/>
  <c r="A88" i="3"/>
  <c r="L87" i="3"/>
  <c r="K87" i="3"/>
  <c r="J87" i="3"/>
  <c r="I87" i="3"/>
  <c r="H87" i="3"/>
  <c r="G87" i="3"/>
  <c r="F87" i="3"/>
  <c r="E87" i="3"/>
  <c r="D87" i="3"/>
  <c r="C87" i="3"/>
  <c r="B87" i="3"/>
  <c r="A87" i="3"/>
  <c r="L86" i="3"/>
  <c r="K86" i="3"/>
  <c r="J86" i="3"/>
  <c r="I86" i="3"/>
  <c r="H86" i="3"/>
  <c r="G86" i="3"/>
  <c r="F86" i="3"/>
  <c r="E86" i="3"/>
  <c r="D86" i="3"/>
  <c r="C86" i="3"/>
  <c r="B86" i="3"/>
  <c r="A86" i="3"/>
  <c r="L85" i="3"/>
  <c r="K85" i="3"/>
  <c r="J85" i="3"/>
  <c r="I85" i="3"/>
  <c r="H85" i="3"/>
  <c r="G85" i="3"/>
  <c r="F85" i="3"/>
  <c r="E85" i="3"/>
  <c r="D85" i="3"/>
  <c r="C85" i="3"/>
  <c r="B85" i="3"/>
  <c r="A85" i="3"/>
  <c r="L84" i="3"/>
  <c r="K84" i="3"/>
  <c r="J84" i="3"/>
  <c r="I84" i="3"/>
  <c r="H84" i="3"/>
  <c r="G84" i="3"/>
  <c r="F84" i="3"/>
  <c r="E84" i="3"/>
  <c r="D84" i="3"/>
  <c r="C84" i="3"/>
  <c r="B84" i="3"/>
  <c r="A84" i="3"/>
  <c r="L83" i="3"/>
  <c r="K83" i="3"/>
  <c r="J83" i="3"/>
  <c r="I83" i="3"/>
  <c r="H83" i="3"/>
  <c r="G83" i="3"/>
  <c r="F83" i="3"/>
  <c r="E83" i="3"/>
  <c r="D83" i="3"/>
  <c r="C83" i="3"/>
  <c r="B83" i="3"/>
  <c r="A83" i="3"/>
  <c r="L82" i="3"/>
  <c r="K82" i="3"/>
  <c r="J82" i="3"/>
  <c r="I82" i="3"/>
  <c r="H82" i="3"/>
  <c r="G82" i="3"/>
  <c r="F82" i="3"/>
  <c r="E82" i="3"/>
  <c r="D82" i="3"/>
  <c r="C82" i="3"/>
  <c r="B82" i="3"/>
  <c r="A82" i="3"/>
  <c r="L81" i="3"/>
  <c r="K81" i="3"/>
  <c r="J81" i="3"/>
  <c r="I81" i="3"/>
  <c r="H81" i="3"/>
  <c r="G81" i="3"/>
  <c r="F81" i="3"/>
  <c r="E81" i="3"/>
  <c r="D81" i="3"/>
  <c r="C81" i="3"/>
  <c r="B81" i="3"/>
  <c r="A81" i="3"/>
  <c r="L80" i="3"/>
  <c r="K80" i="3"/>
  <c r="J80" i="3"/>
  <c r="I80" i="3"/>
  <c r="H80" i="3"/>
  <c r="G80" i="3"/>
  <c r="F80" i="3"/>
  <c r="E80" i="3"/>
  <c r="D80" i="3"/>
  <c r="C80" i="3"/>
  <c r="B80" i="3"/>
  <c r="A80" i="3"/>
  <c r="L79" i="3"/>
  <c r="K79" i="3"/>
  <c r="J79" i="3"/>
  <c r="I79" i="3"/>
  <c r="H79" i="3"/>
  <c r="G79" i="3"/>
  <c r="F79" i="3"/>
  <c r="E79" i="3"/>
  <c r="D79" i="3"/>
  <c r="C79" i="3"/>
  <c r="B79" i="3"/>
  <c r="A79" i="3"/>
  <c r="L78" i="3"/>
  <c r="K78" i="3"/>
  <c r="J78" i="3"/>
  <c r="I78" i="3"/>
  <c r="H78" i="3"/>
  <c r="G78" i="3"/>
  <c r="F78" i="3"/>
  <c r="E78" i="3"/>
  <c r="D78" i="3"/>
  <c r="C78" i="3"/>
  <c r="B78" i="3"/>
  <c r="A78" i="3"/>
  <c r="L77" i="3"/>
  <c r="K77" i="3"/>
  <c r="J77" i="3"/>
  <c r="I77" i="3"/>
  <c r="H77" i="3"/>
  <c r="G77" i="3"/>
  <c r="F77" i="3"/>
  <c r="E77" i="3"/>
  <c r="D77" i="3"/>
  <c r="C77" i="3"/>
  <c r="B77" i="3"/>
  <c r="A77" i="3"/>
  <c r="L76" i="3"/>
  <c r="K76" i="3"/>
  <c r="J76" i="3"/>
  <c r="I76" i="3"/>
  <c r="H76" i="3"/>
  <c r="G76" i="3"/>
  <c r="F76" i="3"/>
  <c r="E76" i="3"/>
  <c r="D76" i="3"/>
  <c r="C76" i="3"/>
  <c r="B76" i="3"/>
  <c r="A76" i="3"/>
  <c r="L75" i="3"/>
  <c r="K75" i="3"/>
  <c r="J75" i="3"/>
  <c r="I75" i="3"/>
  <c r="H75" i="3"/>
  <c r="G75" i="3"/>
  <c r="F75" i="3"/>
  <c r="E75" i="3"/>
  <c r="D75" i="3"/>
  <c r="C75" i="3"/>
  <c r="B75" i="3"/>
  <c r="A75" i="3"/>
  <c r="L74" i="3"/>
  <c r="K74" i="3"/>
  <c r="J74" i="3"/>
  <c r="I74" i="3"/>
  <c r="H74" i="3"/>
  <c r="G74" i="3"/>
  <c r="F74" i="3"/>
  <c r="E74" i="3"/>
  <c r="D74" i="3"/>
  <c r="C74" i="3"/>
  <c r="B74" i="3"/>
  <c r="A74" i="3"/>
  <c r="L73" i="3"/>
  <c r="K73" i="3"/>
  <c r="J73" i="3"/>
  <c r="I73" i="3"/>
  <c r="H73" i="3"/>
  <c r="G73" i="3"/>
  <c r="F73" i="3"/>
  <c r="E73" i="3"/>
  <c r="D73" i="3"/>
  <c r="C73" i="3"/>
  <c r="B73" i="3"/>
  <c r="A73" i="3"/>
  <c r="L72" i="3"/>
  <c r="K72" i="3"/>
  <c r="J72" i="3"/>
  <c r="I72" i="3"/>
  <c r="H72" i="3"/>
  <c r="G72" i="3"/>
  <c r="F72" i="3"/>
  <c r="E72" i="3"/>
  <c r="D72" i="3"/>
  <c r="C72" i="3"/>
  <c r="B72" i="3"/>
  <c r="A72" i="3"/>
  <c r="L71" i="3"/>
  <c r="K71" i="3"/>
  <c r="J71" i="3"/>
  <c r="I71" i="3"/>
  <c r="H71" i="3"/>
  <c r="G71" i="3"/>
  <c r="F71" i="3"/>
  <c r="E71" i="3"/>
  <c r="D71" i="3"/>
  <c r="C71" i="3"/>
  <c r="B71" i="3"/>
  <c r="A71" i="3"/>
  <c r="L70" i="3"/>
  <c r="K70" i="3"/>
  <c r="J70" i="3"/>
  <c r="I70" i="3"/>
  <c r="H70" i="3"/>
  <c r="G70" i="3"/>
  <c r="F70" i="3"/>
  <c r="E70" i="3"/>
  <c r="D70" i="3"/>
  <c r="C70" i="3"/>
  <c r="B70" i="3"/>
  <c r="A70" i="3"/>
  <c r="L69" i="3"/>
  <c r="K69" i="3"/>
  <c r="J69" i="3"/>
  <c r="I69" i="3"/>
  <c r="H69" i="3"/>
  <c r="G69" i="3"/>
  <c r="F69" i="3"/>
  <c r="E69" i="3"/>
  <c r="D69" i="3"/>
  <c r="C69" i="3"/>
  <c r="B69" i="3"/>
  <c r="A69" i="3"/>
  <c r="L68" i="3"/>
  <c r="K68" i="3"/>
  <c r="J68" i="3"/>
  <c r="I68" i="3"/>
  <c r="H68" i="3"/>
  <c r="G68" i="3"/>
  <c r="F68" i="3"/>
  <c r="E68" i="3"/>
  <c r="D68" i="3"/>
  <c r="C68" i="3"/>
  <c r="B68" i="3"/>
  <c r="A68" i="3"/>
  <c r="L67" i="3"/>
  <c r="K67" i="3"/>
  <c r="J67" i="3"/>
  <c r="I67" i="3"/>
  <c r="H67" i="3"/>
  <c r="G67" i="3"/>
  <c r="F67" i="3"/>
  <c r="E67" i="3"/>
  <c r="D67" i="3"/>
  <c r="C67" i="3"/>
  <c r="B67" i="3"/>
  <c r="A67" i="3"/>
  <c r="L66" i="3"/>
  <c r="K66" i="3"/>
  <c r="J66" i="3"/>
  <c r="I66" i="3"/>
  <c r="H66" i="3"/>
  <c r="G66" i="3"/>
  <c r="F66" i="3"/>
  <c r="E66" i="3"/>
  <c r="D66" i="3"/>
  <c r="C66" i="3"/>
  <c r="B66" i="3"/>
  <c r="A66" i="3"/>
  <c r="L65" i="3"/>
  <c r="K65" i="3"/>
  <c r="J65" i="3"/>
  <c r="I65" i="3"/>
  <c r="H65" i="3"/>
  <c r="G65" i="3"/>
  <c r="F65" i="3"/>
  <c r="E65" i="3"/>
  <c r="D65" i="3"/>
  <c r="C65" i="3"/>
  <c r="B65" i="3"/>
  <c r="A65" i="3"/>
  <c r="L64" i="3"/>
  <c r="K64" i="3"/>
  <c r="J64" i="3"/>
  <c r="I64" i="3"/>
  <c r="H64" i="3"/>
  <c r="G64" i="3"/>
  <c r="F64" i="3"/>
  <c r="E64" i="3"/>
  <c r="D64" i="3"/>
  <c r="C64" i="3"/>
  <c r="B64" i="3"/>
  <c r="A64" i="3"/>
  <c r="L63" i="3"/>
  <c r="K63" i="3"/>
  <c r="J63" i="3"/>
  <c r="I63" i="3"/>
  <c r="H63" i="3"/>
  <c r="G63" i="3"/>
  <c r="F63" i="3"/>
  <c r="E63" i="3"/>
  <c r="D63" i="3"/>
  <c r="C63" i="3"/>
  <c r="B63" i="3"/>
  <c r="A63" i="3"/>
  <c r="L62" i="3"/>
  <c r="K62" i="3"/>
  <c r="J62" i="3"/>
  <c r="I62" i="3"/>
  <c r="H62" i="3"/>
  <c r="G62" i="3"/>
  <c r="F62" i="3"/>
  <c r="E62" i="3"/>
  <c r="D62" i="3"/>
  <c r="C62" i="3"/>
  <c r="B62" i="3"/>
  <c r="A62" i="3"/>
  <c r="L61" i="3"/>
  <c r="K61" i="3"/>
  <c r="J61" i="3"/>
  <c r="I61" i="3"/>
  <c r="H61" i="3"/>
  <c r="G61" i="3"/>
  <c r="F61" i="3"/>
  <c r="E61" i="3"/>
  <c r="D61" i="3"/>
  <c r="C61" i="3"/>
  <c r="B61" i="3"/>
  <c r="A61" i="3"/>
  <c r="L60" i="3"/>
  <c r="K60" i="3"/>
  <c r="J60" i="3"/>
  <c r="I60" i="3"/>
  <c r="H60" i="3"/>
  <c r="G60" i="3"/>
  <c r="F60" i="3"/>
  <c r="E60" i="3"/>
  <c r="D60" i="3"/>
  <c r="C60" i="3"/>
  <c r="B60" i="3"/>
  <c r="A60" i="3"/>
  <c r="L59" i="3"/>
  <c r="K59" i="3"/>
  <c r="J59" i="3"/>
  <c r="I59" i="3"/>
  <c r="H59" i="3"/>
  <c r="G59" i="3"/>
  <c r="F59" i="3"/>
  <c r="E59" i="3"/>
  <c r="D59" i="3"/>
  <c r="C59" i="3"/>
  <c r="B59" i="3"/>
  <c r="A59" i="3"/>
  <c r="L58" i="3"/>
  <c r="K58" i="3"/>
  <c r="J58" i="3"/>
  <c r="I58" i="3"/>
  <c r="H58" i="3"/>
  <c r="G58" i="3"/>
  <c r="F58" i="3"/>
  <c r="E58" i="3"/>
  <c r="D58" i="3"/>
  <c r="C58" i="3"/>
  <c r="B58" i="3"/>
  <c r="A58" i="3"/>
  <c r="L57" i="3"/>
  <c r="K57" i="3"/>
  <c r="J57" i="3"/>
  <c r="I57" i="3"/>
  <c r="H57" i="3"/>
  <c r="G57" i="3"/>
  <c r="F57" i="3"/>
  <c r="E57" i="3"/>
  <c r="D57" i="3"/>
  <c r="C57" i="3"/>
  <c r="B57" i="3"/>
  <c r="A57" i="3"/>
  <c r="L56" i="3"/>
  <c r="K56" i="3"/>
  <c r="J56" i="3"/>
  <c r="I56" i="3"/>
  <c r="H56" i="3"/>
  <c r="G56" i="3"/>
  <c r="F56" i="3"/>
  <c r="E56" i="3"/>
  <c r="D56" i="3"/>
  <c r="C56" i="3"/>
  <c r="B56" i="3"/>
  <c r="A56" i="3"/>
  <c r="L55" i="3"/>
  <c r="K55" i="3"/>
  <c r="J55" i="3"/>
  <c r="I55" i="3"/>
  <c r="H55" i="3"/>
  <c r="G55" i="3"/>
  <c r="F55" i="3"/>
  <c r="E55" i="3"/>
  <c r="D55" i="3"/>
  <c r="C55" i="3"/>
  <c r="B55" i="3"/>
  <c r="A55" i="3"/>
  <c r="L54" i="3"/>
  <c r="K54" i="3"/>
  <c r="J54" i="3"/>
  <c r="I54" i="3"/>
  <c r="H54" i="3"/>
  <c r="G54" i="3"/>
  <c r="F54" i="3"/>
  <c r="E54" i="3"/>
  <c r="D54" i="3"/>
  <c r="C54" i="3"/>
  <c r="B54" i="3"/>
  <c r="A54" i="3"/>
  <c r="L53" i="3"/>
  <c r="K53" i="3"/>
  <c r="J53" i="3"/>
  <c r="I53" i="3"/>
  <c r="H53" i="3"/>
  <c r="G53" i="3"/>
  <c r="F53" i="3"/>
  <c r="E53" i="3"/>
  <c r="D53" i="3"/>
  <c r="C53" i="3"/>
  <c r="B53" i="3"/>
  <c r="A53" i="3"/>
  <c r="L52" i="3"/>
  <c r="K52" i="3"/>
  <c r="J52" i="3"/>
  <c r="I52" i="3"/>
  <c r="H52" i="3"/>
  <c r="G52" i="3"/>
  <c r="F52" i="3"/>
  <c r="E52" i="3"/>
  <c r="D52" i="3"/>
  <c r="C52" i="3"/>
  <c r="B52" i="3"/>
  <c r="A52" i="3"/>
  <c r="L51" i="3"/>
  <c r="K51" i="3"/>
  <c r="J51" i="3"/>
  <c r="I51" i="3"/>
  <c r="H51" i="3"/>
  <c r="G51" i="3"/>
  <c r="F51" i="3"/>
  <c r="E51" i="3"/>
  <c r="D51" i="3"/>
  <c r="C51" i="3"/>
  <c r="B51" i="3"/>
  <c r="A51" i="3"/>
  <c r="L50" i="3"/>
  <c r="K50" i="3"/>
  <c r="J50" i="3"/>
  <c r="I50" i="3"/>
  <c r="H50" i="3"/>
  <c r="G50" i="3"/>
  <c r="F50" i="3"/>
  <c r="E50" i="3"/>
  <c r="D50" i="3"/>
  <c r="C50" i="3"/>
  <c r="B50" i="3"/>
  <c r="A50" i="3"/>
  <c r="L49" i="3"/>
  <c r="K49" i="3"/>
  <c r="J49" i="3"/>
  <c r="I49" i="3"/>
  <c r="H49" i="3"/>
  <c r="G49" i="3"/>
  <c r="F49" i="3"/>
  <c r="E49" i="3"/>
  <c r="D49" i="3"/>
  <c r="C49" i="3"/>
  <c r="B49" i="3"/>
  <c r="A49" i="3"/>
  <c r="L48" i="3"/>
  <c r="K48" i="3"/>
  <c r="J48" i="3"/>
  <c r="I48" i="3"/>
  <c r="H48" i="3"/>
  <c r="G48" i="3"/>
  <c r="F48" i="3"/>
  <c r="E48" i="3"/>
  <c r="D48" i="3"/>
  <c r="C48" i="3"/>
  <c r="B48" i="3"/>
  <c r="A48" i="3"/>
  <c r="L47" i="3"/>
  <c r="K47" i="3"/>
  <c r="J47" i="3"/>
  <c r="I47" i="3"/>
  <c r="H47" i="3"/>
  <c r="G47" i="3"/>
  <c r="F47" i="3"/>
  <c r="E47" i="3"/>
  <c r="D47" i="3"/>
  <c r="C47" i="3"/>
  <c r="B47" i="3"/>
  <c r="A47" i="3"/>
  <c r="L46" i="3"/>
  <c r="K46" i="3"/>
  <c r="J46" i="3"/>
  <c r="I46" i="3"/>
  <c r="H46" i="3"/>
  <c r="G46" i="3"/>
  <c r="F46" i="3"/>
  <c r="E46" i="3"/>
  <c r="D46" i="3"/>
  <c r="C46" i="3"/>
  <c r="B46" i="3"/>
  <c r="A46" i="3"/>
  <c r="L45" i="3"/>
  <c r="K45" i="3"/>
  <c r="J45" i="3"/>
  <c r="I45" i="3"/>
  <c r="H45" i="3"/>
  <c r="G45" i="3"/>
  <c r="F45" i="3"/>
  <c r="E45" i="3"/>
  <c r="D45" i="3"/>
  <c r="C45" i="3"/>
  <c r="B45" i="3"/>
  <c r="A45" i="3"/>
  <c r="L44" i="3"/>
  <c r="K44" i="3"/>
  <c r="J44" i="3"/>
  <c r="I44" i="3"/>
  <c r="H44" i="3"/>
  <c r="G44" i="3"/>
  <c r="F44" i="3"/>
  <c r="E44" i="3"/>
  <c r="D44" i="3"/>
  <c r="C44" i="3"/>
  <c r="B44" i="3"/>
  <c r="A44" i="3"/>
  <c r="L43" i="3"/>
  <c r="K43" i="3"/>
  <c r="J43" i="3"/>
  <c r="I43" i="3"/>
  <c r="H43" i="3"/>
  <c r="G43" i="3"/>
  <c r="F43" i="3"/>
  <c r="E43" i="3"/>
  <c r="D43" i="3"/>
  <c r="C43" i="3"/>
  <c r="B43" i="3"/>
  <c r="A43" i="3"/>
  <c r="L42" i="3"/>
  <c r="K42" i="3"/>
  <c r="J42" i="3"/>
  <c r="I42" i="3"/>
  <c r="H42" i="3"/>
  <c r="G42" i="3"/>
  <c r="F42" i="3"/>
  <c r="E42" i="3"/>
  <c r="D42" i="3"/>
  <c r="C42" i="3"/>
  <c r="B42" i="3"/>
  <c r="A42" i="3"/>
  <c r="L41" i="3"/>
  <c r="K41" i="3"/>
  <c r="J41" i="3"/>
  <c r="I41" i="3"/>
  <c r="H41" i="3"/>
  <c r="G41" i="3"/>
  <c r="F41" i="3"/>
  <c r="E41" i="3"/>
  <c r="D41" i="3"/>
  <c r="C41" i="3"/>
  <c r="B41" i="3"/>
  <c r="A41" i="3"/>
  <c r="L40" i="3"/>
  <c r="K40" i="3"/>
  <c r="J40" i="3"/>
  <c r="I40" i="3"/>
  <c r="H40" i="3"/>
  <c r="G40" i="3"/>
  <c r="F40" i="3"/>
  <c r="E40" i="3"/>
  <c r="D40" i="3"/>
  <c r="C40" i="3"/>
  <c r="B40" i="3"/>
  <c r="A40" i="3"/>
  <c r="L39" i="3"/>
  <c r="K39" i="3"/>
  <c r="J39" i="3"/>
  <c r="I39" i="3"/>
  <c r="H39" i="3"/>
  <c r="G39" i="3"/>
  <c r="F39" i="3"/>
  <c r="E39" i="3"/>
  <c r="D39" i="3"/>
  <c r="C39" i="3"/>
  <c r="B39" i="3"/>
  <c r="A39" i="3"/>
  <c r="L38" i="3"/>
  <c r="K38" i="3"/>
  <c r="J38" i="3"/>
  <c r="I38" i="3"/>
  <c r="H38" i="3"/>
  <c r="G38" i="3"/>
  <c r="F38" i="3"/>
  <c r="E38" i="3"/>
  <c r="D38" i="3"/>
  <c r="C38" i="3"/>
  <c r="B38" i="3"/>
  <c r="A38" i="3"/>
  <c r="L37" i="3"/>
  <c r="K37" i="3"/>
  <c r="J37" i="3"/>
  <c r="I37" i="3"/>
  <c r="H37" i="3"/>
  <c r="G37" i="3"/>
  <c r="F37" i="3"/>
  <c r="E37" i="3"/>
  <c r="D37" i="3"/>
  <c r="C37" i="3"/>
  <c r="B37" i="3"/>
  <c r="A37" i="3"/>
  <c r="L36" i="3"/>
  <c r="K36" i="3"/>
  <c r="J36" i="3"/>
  <c r="I36" i="3"/>
  <c r="H36" i="3"/>
  <c r="G36" i="3"/>
  <c r="F36" i="3"/>
  <c r="E36" i="3"/>
  <c r="D36" i="3"/>
  <c r="C36" i="3"/>
  <c r="B36" i="3"/>
  <c r="A36" i="3"/>
  <c r="L35" i="3"/>
  <c r="K35" i="3"/>
  <c r="J35" i="3"/>
  <c r="I35" i="3"/>
  <c r="H35" i="3"/>
  <c r="G35" i="3"/>
  <c r="F35" i="3"/>
  <c r="E35" i="3"/>
  <c r="D35" i="3"/>
  <c r="C35" i="3"/>
  <c r="B35" i="3"/>
  <c r="A35" i="3"/>
  <c r="L34" i="3"/>
  <c r="K34" i="3"/>
  <c r="J34" i="3"/>
  <c r="I34" i="3"/>
  <c r="H34" i="3"/>
  <c r="G34" i="3"/>
  <c r="F34" i="3"/>
  <c r="E34" i="3"/>
  <c r="D34" i="3"/>
  <c r="C34" i="3"/>
  <c r="B34" i="3"/>
  <c r="A34" i="3"/>
  <c r="L33" i="3"/>
  <c r="K33" i="3"/>
  <c r="J33" i="3"/>
  <c r="I33" i="3"/>
  <c r="H33" i="3"/>
  <c r="G33" i="3"/>
  <c r="F33" i="3"/>
  <c r="E33" i="3"/>
  <c r="D33" i="3"/>
  <c r="C33" i="3"/>
  <c r="B33" i="3"/>
  <c r="A33" i="3"/>
  <c r="L32" i="3"/>
  <c r="K32" i="3"/>
  <c r="J32" i="3"/>
  <c r="I32" i="3"/>
  <c r="H32" i="3"/>
  <c r="G32" i="3"/>
  <c r="F32" i="3"/>
  <c r="E32" i="3"/>
  <c r="D32" i="3"/>
  <c r="C32" i="3"/>
  <c r="B32" i="3"/>
  <c r="A32" i="3"/>
  <c r="L31" i="3"/>
  <c r="K31" i="3"/>
  <c r="J31" i="3"/>
  <c r="I31" i="3"/>
  <c r="H31" i="3"/>
  <c r="G31" i="3"/>
  <c r="F31" i="3"/>
  <c r="E31" i="3"/>
  <c r="D31" i="3"/>
  <c r="C31" i="3"/>
  <c r="B31" i="3"/>
  <c r="A31" i="3"/>
  <c r="L30" i="3"/>
  <c r="K30" i="3"/>
  <c r="J30" i="3"/>
  <c r="I30" i="3"/>
  <c r="H30" i="3"/>
  <c r="G30" i="3"/>
  <c r="F30" i="3"/>
  <c r="E30" i="3"/>
  <c r="D30" i="3"/>
  <c r="C30" i="3"/>
  <c r="B30" i="3"/>
  <c r="A30" i="3"/>
  <c r="L29" i="3"/>
  <c r="K29" i="3"/>
  <c r="J29" i="3"/>
  <c r="I29" i="3"/>
  <c r="H29" i="3"/>
  <c r="G29" i="3"/>
  <c r="F29" i="3"/>
  <c r="E29" i="3"/>
  <c r="D29" i="3"/>
  <c r="C29" i="3"/>
  <c r="B29" i="3"/>
  <c r="A29" i="3"/>
  <c r="L28" i="3"/>
  <c r="K28" i="3"/>
  <c r="J28" i="3"/>
  <c r="I28" i="3"/>
  <c r="H28" i="3"/>
  <c r="G28" i="3"/>
  <c r="F28" i="3"/>
  <c r="E28" i="3"/>
  <c r="D28" i="3"/>
  <c r="C28" i="3"/>
  <c r="B28" i="3"/>
  <c r="A28" i="3"/>
  <c r="L27" i="3"/>
  <c r="K27" i="3"/>
  <c r="J27" i="3"/>
  <c r="I27" i="3"/>
  <c r="H27" i="3"/>
  <c r="G27" i="3"/>
  <c r="F27" i="3"/>
  <c r="E27" i="3"/>
  <c r="D27" i="3"/>
  <c r="C27" i="3"/>
  <c r="B27" i="3"/>
  <c r="A27" i="3"/>
  <c r="L26" i="3"/>
  <c r="K26" i="3"/>
  <c r="J26" i="3"/>
  <c r="I26" i="3"/>
  <c r="H26" i="3"/>
  <c r="G26" i="3"/>
  <c r="F26" i="3"/>
  <c r="E26" i="3"/>
  <c r="D26" i="3"/>
  <c r="C26" i="3"/>
  <c r="B26" i="3"/>
  <c r="A26" i="3"/>
  <c r="L25" i="3"/>
  <c r="K25" i="3"/>
  <c r="J25" i="3"/>
  <c r="I25" i="3"/>
  <c r="H25" i="3"/>
  <c r="G25" i="3"/>
  <c r="F25" i="3"/>
  <c r="E25" i="3"/>
  <c r="D25" i="3"/>
  <c r="C25" i="3"/>
  <c r="B25" i="3"/>
  <c r="A25" i="3"/>
  <c r="L24" i="3"/>
  <c r="K24" i="3"/>
  <c r="J24" i="3"/>
  <c r="I24" i="3"/>
  <c r="H24" i="3"/>
  <c r="G24" i="3"/>
  <c r="F24" i="3"/>
  <c r="E24" i="3"/>
  <c r="D24" i="3"/>
  <c r="C24" i="3"/>
  <c r="B24" i="3"/>
  <c r="A24" i="3"/>
  <c r="L23" i="3"/>
  <c r="K23" i="3"/>
  <c r="J23" i="3"/>
  <c r="I23" i="3"/>
  <c r="H23" i="3"/>
  <c r="G23" i="3"/>
  <c r="F23" i="3"/>
  <c r="E23" i="3"/>
  <c r="D23" i="3"/>
  <c r="C23" i="3"/>
  <c r="B23" i="3"/>
  <c r="A23" i="3"/>
  <c r="L22" i="3"/>
  <c r="K22" i="3"/>
  <c r="J22" i="3"/>
  <c r="I22" i="3"/>
  <c r="H22" i="3"/>
  <c r="G22" i="3"/>
  <c r="F22" i="3"/>
  <c r="E22" i="3"/>
  <c r="D22" i="3"/>
  <c r="C22" i="3"/>
  <c r="B22" i="3"/>
  <c r="A22" i="3"/>
  <c r="L21" i="3"/>
  <c r="K21" i="3"/>
  <c r="J21" i="3"/>
  <c r="I21" i="3"/>
  <c r="H21" i="3"/>
  <c r="G21" i="3"/>
  <c r="F21" i="3"/>
  <c r="E21" i="3"/>
  <c r="D21" i="3"/>
  <c r="C21" i="3"/>
  <c r="B21" i="3"/>
  <c r="A21" i="3"/>
  <c r="L20" i="3"/>
  <c r="K20" i="3"/>
  <c r="J20" i="3"/>
  <c r="I20" i="3"/>
  <c r="H20" i="3"/>
  <c r="G20" i="3"/>
  <c r="F20" i="3"/>
  <c r="E20" i="3"/>
  <c r="D20" i="3"/>
  <c r="C20" i="3"/>
  <c r="B20" i="3"/>
  <c r="A20" i="3"/>
  <c r="L19" i="3"/>
  <c r="K19" i="3"/>
  <c r="J19" i="3"/>
  <c r="I19" i="3"/>
  <c r="H19" i="3"/>
  <c r="G19" i="3"/>
  <c r="F19" i="3"/>
  <c r="E19" i="3"/>
  <c r="D19" i="3"/>
  <c r="C19" i="3"/>
  <c r="B19" i="3"/>
  <c r="A19" i="3"/>
  <c r="L18" i="3"/>
  <c r="K18" i="3"/>
  <c r="J18" i="3"/>
  <c r="I18" i="3"/>
  <c r="H18" i="3"/>
  <c r="G18" i="3"/>
  <c r="F18" i="3"/>
  <c r="E18" i="3"/>
  <c r="D18" i="3"/>
  <c r="C18" i="3"/>
  <c r="B18" i="3"/>
  <c r="A18" i="3"/>
  <c r="L17" i="3"/>
  <c r="K17" i="3"/>
  <c r="J17" i="3"/>
  <c r="I17" i="3"/>
  <c r="H17" i="3"/>
  <c r="G17" i="3"/>
  <c r="F17" i="3"/>
  <c r="E17" i="3"/>
  <c r="D17" i="3"/>
  <c r="C17" i="3"/>
  <c r="B17" i="3"/>
  <c r="A17" i="3"/>
  <c r="L16" i="3"/>
  <c r="K16" i="3"/>
  <c r="J16" i="3"/>
  <c r="I16" i="3"/>
  <c r="H16" i="3"/>
  <c r="G16" i="3"/>
  <c r="F16" i="3"/>
  <c r="E16" i="3"/>
  <c r="D16" i="3"/>
  <c r="C16" i="3"/>
  <c r="B16" i="3"/>
  <c r="A16" i="3"/>
  <c r="L15" i="3"/>
  <c r="K15" i="3"/>
  <c r="J15" i="3"/>
  <c r="I15" i="3"/>
  <c r="H15" i="3"/>
  <c r="G15" i="3"/>
  <c r="F15" i="3"/>
  <c r="E15" i="3"/>
  <c r="D15" i="3"/>
  <c r="C15" i="3"/>
  <c r="B15" i="3"/>
  <c r="A15" i="3"/>
  <c r="L14" i="3"/>
  <c r="K14" i="3"/>
  <c r="J14" i="3"/>
  <c r="I14" i="3"/>
  <c r="H14" i="3"/>
  <c r="G14" i="3"/>
  <c r="F14" i="3"/>
  <c r="E14" i="3"/>
  <c r="D14" i="3"/>
  <c r="C14" i="3"/>
  <c r="B14" i="3"/>
  <c r="A14" i="3"/>
  <c r="L13" i="3"/>
  <c r="K13" i="3"/>
  <c r="J13" i="3"/>
  <c r="I13" i="3"/>
  <c r="H13" i="3"/>
  <c r="G13" i="3"/>
  <c r="F13" i="3"/>
  <c r="E13" i="3"/>
  <c r="D13" i="3"/>
  <c r="C13" i="3"/>
  <c r="B13" i="3"/>
  <c r="A13" i="3"/>
  <c r="L12" i="3"/>
  <c r="K12" i="3"/>
  <c r="J12" i="3"/>
  <c r="I12" i="3"/>
  <c r="H12" i="3"/>
  <c r="G12" i="3"/>
  <c r="F12" i="3"/>
  <c r="E12" i="3"/>
  <c r="D12" i="3"/>
  <c r="C12" i="3"/>
  <c r="B12" i="3"/>
  <c r="A12" i="3"/>
  <c r="L11" i="3"/>
  <c r="K11" i="3"/>
  <c r="J11" i="3"/>
  <c r="I11" i="3"/>
  <c r="H11" i="3"/>
  <c r="G11" i="3"/>
  <c r="F11" i="3"/>
  <c r="E11" i="3"/>
  <c r="D11" i="3"/>
  <c r="C11" i="3"/>
  <c r="B11" i="3"/>
  <c r="A11" i="3"/>
  <c r="L10" i="3"/>
  <c r="K10" i="3"/>
  <c r="J10" i="3"/>
  <c r="I10" i="3"/>
  <c r="H10" i="3"/>
  <c r="G10" i="3"/>
  <c r="F10" i="3"/>
  <c r="E10" i="3"/>
  <c r="D10" i="3"/>
  <c r="C10" i="3"/>
  <c r="B10" i="3"/>
  <c r="A10" i="3"/>
  <c r="L9" i="3"/>
  <c r="K9" i="3"/>
  <c r="J9" i="3"/>
  <c r="I9" i="3"/>
  <c r="H9" i="3"/>
  <c r="G9" i="3"/>
  <c r="F9" i="3"/>
  <c r="E9" i="3"/>
  <c r="D9" i="3"/>
  <c r="C9" i="3"/>
  <c r="B9" i="3"/>
  <c r="A9" i="3"/>
  <c r="L8" i="3"/>
  <c r="K8" i="3"/>
  <c r="J8" i="3"/>
  <c r="I8" i="3"/>
  <c r="H8" i="3"/>
  <c r="G8" i="3"/>
  <c r="F8" i="3"/>
  <c r="E8" i="3"/>
  <c r="D8" i="3"/>
  <c r="C8" i="3"/>
  <c r="B8" i="3"/>
  <c r="A8" i="3"/>
  <c r="L7" i="3"/>
  <c r="K7" i="3"/>
  <c r="J7" i="3"/>
  <c r="I7" i="3"/>
  <c r="H7" i="3"/>
  <c r="G7" i="3"/>
  <c r="F7" i="3"/>
  <c r="E7" i="3"/>
  <c r="D7" i="3"/>
  <c r="C7" i="3"/>
  <c r="B7" i="3"/>
  <c r="A7" i="3"/>
  <c r="L6" i="3"/>
  <c r="K6" i="3"/>
  <c r="J6" i="3"/>
  <c r="I6" i="3"/>
  <c r="H6" i="3"/>
  <c r="G6" i="3"/>
  <c r="F6" i="3"/>
  <c r="E6" i="3"/>
  <c r="D6" i="3"/>
  <c r="C6" i="3"/>
  <c r="B6" i="3"/>
  <c r="A6" i="3"/>
  <c r="L5" i="3"/>
  <c r="K5" i="3"/>
  <c r="J5" i="3"/>
  <c r="I5" i="3"/>
  <c r="H5" i="3"/>
  <c r="G5" i="3"/>
  <c r="F5" i="3"/>
  <c r="E5" i="3"/>
  <c r="D5" i="3"/>
  <c r="C5" i="3"/>
  <c r="B5" i="3"/>
  <c r="A5" i="3"/>
  <c r="L4" i="3"/>
  <c r="K4" i="3"/>
  <c r="J4" i="3"/>
  <c r="I4" i="3"/>
  <c r="H4" i="3"/>
  <c r="G4" i="3"/>
  <c r="F4" i="3"/>
  <c r="E4" i="3"/>
  <c r="D4" i="3"/>
  <c r="C4" i="3"/>
  <c r="B4" i="3"/>
  <c r="A4" i="3"/>
  <c r="L3" i="3"/>
  <c r="K3" i="3"/>
  <c r="J3" i="3"/>
  <c r="I3" i="3"/>
  <c r="H3" i="3"/>
  <c r="G3" i="3"/>
  <c r="F3" i="3"/>
  <c r="E3" i="3"/>
  <c r="D3" i="3"/>
  <c r="C3" i="3"/>
  <c r="B3" i="3"/>
  <c r="A3" i="3"/>
  <c r="L2" i="3"/>
  <c r="K2" i="3"/>
  <c r="J2" i="3"/>
  <c r="I2" i="3"/>
  <c r="H2" i="3"/>
  <c r="G2" i="3"/>
  <c r="F2" i="3"/>
  <c r="E2" i="3"/>
  <c r="D2" i="3"/>
  <c r="C2" i="3"/>
  <c r="B2" i="3"/>
  <c r="A2" i="3"/>
  <c r="L1" i="3"/>
  <c r="K1" i="3"/>
  <c r="J1" i="3"/>
  <c r="I1" i="3"/>
  <c r="H1" i="3"/>
  <c r="G1" i="3"/>
  <c r="F1" i="3"/>
  <c r="E1" i="3"/>
  <c r="D1" i="3"/>
  <c r="C1" i="3"/>
  <c r="B1" i="3"/>
  <c r="A1" i="3"/>
  <c r="L136" i="2"/>
  <c r="K136" i="2"/>
  <c r="J136" i="2"/>
  <c r="I136" i="2"/>
  <c r="H136" i="2"/>
  <c r="G136" i="2"/>
  <c r="F136" i="2"/>
  <c r="E136" i="2"/>
  <c r="D136" i="2"/>
  <c r="C136" i="2"/>
  <c r="B136" i="2"/>
  <c r="A136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L99" i="2"/>
  <c r="K99" i="2"/>
  <c r="J99" i="2"/>
  <c r="I99" i="2"/>
  <c r="H99" i="2"/>
  <c r="G99" i="2"/>
  <c r="F99" i="2"/>
  <c r="E99" i="2"/>
  <c r="D99" i="2"/>
  <c r="C99" i="2"/>
  <c r="B99" i="2"/>
  <c r="A99" i="2"/>
  <c r="L98" i="2"/>
  <c r="K98" i="2"/>
  <c r="J98" i="2"/>
  <c r="I98" i="2"/>
  <c r="H98" i="2"/>
  <c r="G98" i="2"/>
  <c r="F98" i="2"/>
  <c r="E98" i="2"/>
  <c r="D98" i="2"/>
  <c r="C98" i="2"/>
  <c r="B98" i="2"/>
  <c r="A98" i="2"/>
  <c r="L97" i="2"/>
  <c r="K97" i="2"/>
  <c r="J97" i="2"/>
  <c r="I97" i="2"/>
  <c r="H97" i="2"/>
  <c r="G97" i="2"/>
  <c r="F97" i="2"/>
  <c r="E97" i="2"/>
  <c r="D97" i="2"/>
  <c r="C97" i="2"/>
  <c r="B97" i="2"/>
  <c r="A97" i="2"/>
  <c r="L96" i="2"/>
  <c r="K96" i="2"/>
  <c r="J96" i="2"/>
  <c r="I96" i="2"/>
  <c r="H96" i="2"/>
  <c r="G96" i="2"/>
  <c r="F96" i="2"/>
  <c r="E96" i="2"/>
  <c r="D96" i="2"/>
  <c r="C96" i="2"/>
  <c r="B96" i="2"/>
  <c r="A96" i="2"/>
  <c r="L95" i="2"/>
  <c r="K95" i="2"/>
  <c r="J95" i="2"/>
  <c r="I95" i="2"/>
  <c r="H95" i="2"/>
  <c r="G95" i="2"/>
  <c r="F95" i="2"/>
  <c r="E95" i="2"/>
  <c r="D95" i="2"/>
  <c r="C95" i="2"/>
  <c r="B95" i="2"/>
  <c r="A95" i="2"/>
  <c r="L94" i="2"/>
  <c r="K94" i="2"/>
  <c r="J94" i="2"/>
  <c r="I94" i="2"/>
  <c r="H94" i="2"/>
  <c r="G94" i="2"/>
  <c r="F94" i="2"/>
  <c r="E94" i="2"/>
  <c r="D94" i="2"/>
  <c r="C94" i="2"/>
  <c r="B94" i="2"/>
  <c r="A94" i="2"/>
  <c r="L93" i="2"/>
  <c r="K93" i="2"/>
  <c r="J93" i="2"/>
  <c r="I93" i="2"/>
  <c r="H93" i="2"/>
  <c r="G93" i="2"/>
  <c r="F93" i="2"/>
  <c r="E93" i="2"/>
  <c r="D93" i="2"/>
  <c r="C93" i="2"/>
  <c r="B93" i="2"/>
  <c r="A93" i="2"/>
  <c r="L92" i="2"/>
  <c r="K92" i="2"/>
  <c r="J92" i="2"/>
  <c r="I92" i="2"/>
  <c r="H92" i="2"/>
  <c r="G92" i="2"/>
  <c r="F92" i="2"/>
  <c r="E92" i="2"/>
  <c r="D92" i="2"/>
  <c r="C92" i="2"/>
  <c r="B92" i="2"/>
  <c r="A92" i="2"/>
  <c r="L91" i="2"/>
  <c r="K91" i="2"/>
  <c r="J91" i="2"/>
  <c r="I91" i="2"/>
  <c r="H91" i="2"/>
  <c r="G91" i="2"/>
  <c r="F91" i="2"/>
  <c r="E91" i="2"/>
  <c r="D91" i="2"/>
  <c r="C91" i="2"/>
  <c r="B91" i="2"/>
  <c r="A91" i="2"/>
  <c r="L90" i="2"/>
  <c r="K90" i="2"/>
  <c r="J90" i="2"/>
  <c r="I90" i="2"/>
  <c r="H90" i="2"/>
  <c r="G90" i="2"/>
  <c r="F90" i="2"/>
  <c r="E90" i="2"/>
  <c r="D90" i="2"/>
  <c r="C90" i="2"/>
  <c r="B90" i="2"/>
  <c r="A90" i="2"/>
  <c r="L89" i="2"/>
  <c r="K89" i="2"/>
  <c r="J89" i="2"/>
  <c r="I89" i="2"/>
  <c r="H89" i="2"/>
  <c r="G89" i="2"/>
  <c r="F89" i="2"/>
  <c r="E89" i="2"/>
  <c r="D89" i="2"/>
  <c r="C89" i="2"/>
  <c r="B89" i="2"/>
  <c r="A89" i="2"/>
  <c r="L88" i="2"/>
  <c r="K88" i="2"/>
  <c r="J88" i="2"/>
  <c r="I88" i="2"/>
  <c r="H88" i="2"/>
  <c r="G88" i="2"/>
  <c r="F88" i="2"/>
  <c r="E88" i="2"/>
  <c r="D88" i="2"/>
  <c r="C88" i="2"/>
  <c r="B88" i="2"/>
  <c r="A88" i="2"/>
  <c r="L87" i="2"/>
  <c r="K87" i="2"/>
  <c r="J87" i="2"/>
  <c r="I87" i="2"/>
  <c r="H87" i="2"/>
  <c r="G87" i="2"/>
  <c r="F87" i="2"/>
  <c r="E87" i="2"/>
  <c r="D87" i="2"/>
  <c r="C87" i="2"/>
  <c r="B87" i="2"/>
  <c r="A87" i="2"/>
  <c r="L86" i="2"/>
  <c r="K86" i="2"/>
  <c r="J86" i="2"/>
  <c r="I86" i="2"/>
  <c r="H86" i="2"/>
  <c r="G86" i="2"/>
  <c r="F86" i="2"/>
  <c r="E86" i="2"/>
  <c r="D86" i="2"/>
  <c r="C86" i="2"/>
  <c r="B86" i="2"/>
  <c r="A86" i="2"/>
  <c r="L85" i="2"/>
  <c r="K85" i="2"/>
  <c r="J85" i="2"/>
  <c r="I85" i="2"/>
  <c r="H85" i="2"/>
  <c r="G85" i="2"/>
  <c r="F85" i="2"/>
  <c r="E85" i="2"/>
  <c r="D85" i="2"/>
  <c r="C85" i="2"/>
  <c r="B85" i="2"/>
  <c r="A85" i="2"/>
  <c r="L84" i="2"/>
  <c r="K84" i="2"/>
  <c r="J84" i="2"/>
  <c r="I84" i="2"/>
  <c r="H84" i="2"/>
  <c r="G84" i="2"/>
  <c r="F84" i="2"/>
  <c r="E84" i="2"/>
  <c r="D84" i="2"/>
  <c r="C84" i="2"/>
  <c r="B84" i="2"/>
  <c r="A84" i="2"/>
  <c r="L83" i="2"/>
  <c r="K83" i="2"/>
  <c r="J83" i="2"/>
  <c r="I83" i="2"/>
  <c r="H83" i="2"/>
  <c r="G83" i="2"/>
  <c r="F83" i="2"/>
  <c r="E83" i="2"/>
  <c r="D83" i="2"/>
  <c r="C83" i="2"/>
  <c r="B83" i="2"/>
  <c r="A83" i="2"/>
  <c r="L82" i="2"/>
  <c r="K82" i="2"/>
  <c r="J82" i="2"/>
  <c r="I82" i="2"/>
  <c r="H82" i="2"/>
  <c r="G82" i="2"/>
  <c r="F82" i="2"/>
  <c r="E82" i="2"/>
  <c r="D82" i="2"/>
  <c r="C82" i="2"/>
  <c r="B82" i="2"/>
  <c r="A82" i="2"/>
  <c r="L81" i="2"/>
  <c r="K81" i="2"/>
  <c r="J81" i="2"/>
  <c r="I81" i="2"/>
  <c r="H81" i="2"/>
  <c r="G81" i="2"/>
  <c r="F81" i="2"/>
  <c r="E81" i="2"/>
  <c r="D81" i="2"/>
  <c r="C81" i="2"/>
  <c r="B81" i="2"/>
  <c r="A81" i="2"/>
  <c r="L80" i="2"/>
  <c r="K80" i="2"/>
  <c r="J80" i="2"/>
  <c r="I80" i="2"/>
  <c r="H80" i="2"/>
  <c r="G80" i="2"/>
  <c r="F80" i="2"/>
  <c r="E80" i="2"/>
  <c r="D80" i="2"/>
  <c r="C80" i="2"/>
  <c r="B80" i="2"/>
  <c r="A80" i="2"/>
  <c r="L79" i="2"/>
  <c r="K79" i="2"/>
  <c r="J79" i="2"/>
  <c r="I79" i="2"/>
  <c r="H79" i="2"/>
  <c r="G79" i="2"/>
  <c r="F79" i="2"/>
  <c r="E79" i="2"/>
  <c r="D79" i="2"/>
  <c r="C79" i="2"/>
  <c r="B79" i="2"/>
  <c r="A79" i="2"/>
  <c r="L78" i="2"/>
  <c r="K78" i="2"/>
  <c r="J78" i="2"/>
  <c r="I78" i="2"/>
  <c r="H78" i="2"/>
  <c r="G78" i="2"/>
  <c r="F78" i="2"/>
  <c r="E78" i="2"/>
  <c r="D78" i="2"/>
  <c r="C78" i="2"/>
  <c r="B78" i="2"/>
  <c r="A78" i="2"/>
  <c r="L77" i="2"/>
  <c r="K77" i="2"/>
  <c r="J77" i="2"/>
  <c r="I77" i="2"/>
  <c r="H77" i="2"/>
  <c r="G77" i="2"/>
  <c r="F77" i="2"/>
  <c r="E77" i="2"/>
  <c r="D77" i="2"/>
  <c r="C77" i="2"/>
  <c r="B77" i="2"/>
  <c r="A77" i="2"/>
  <c r="L76" i="2"/>
  <c r="K76" i="2"/>
  <c r="J76" i="2"/>
  <c r="I76" i="2"/>
  <c r="H76" i="2"/>
  <c r="G76" i="2"/>
  <c r="F76" i="2"/>
  <c r="E76" i="2"/>
  <c r="D76" i="2"/>
  <c r="C76" i="2"/>
  <c r="B76" i="2"/>
  <c r="A76" i="2"/>
  <c r="L75" i="2"/>
  <c r="K75" i="2"/>
  <c r="J75" i="2"/>
  <c r="I75" i="2"/>
  <c r="H75" i="2"/>
  <c r="G75" i="2"/>
  <c r="F75" i="2"/>
  <c r="E75" i="2"/>
  <c r="D75" i="2"/>
  <c r="C75" i="2"/>
  <c r="B75" i="2"/>
  <c r="A75" i="2"/>
  <c r="L74" i="2"/>
  <c r="K74" i="2"/>
  <c r="J74" i="2"/>
  <c r="I74" i="2"/>
  <c r="H74" i="2"/>
  <c r="G74" i="2"/>
  <c r="F74" i="2"/>
  <c r="E74" i="2"/>
  <c r="D74" i="2"/>
  <c r="C74" i="2"/>
  <c r="B74" i="2"/>
  <c r="A74" i="2"/>
  <c r="L73" i="2"/>
  <c r="K73" i="2"/>
  <c r="J73" i="2"/>
  <c r="I73" i="2"/>
  <c r="H73" i="2"/>
  <c r="G73" i="2"/>
  <c r="F73" i="2"/>
  <c r="E73" i="2"/>
  <c r="D73" i="2"/>
  <c r="C73" i="2"/>
  <c r="B73" i="2"/>
  <c r="A73" i="2"/>
  <c r="L72" i="2"/>
  <c r="K72" i="2"/>
  <c r="J72" i="2"/>
  <c r="I72" i="2"/>
  <c r="H72" i="2"/>
  <c r="G72" i="2"/>
  <c r="F72" i="2"/>
  <c r="E72" i="2"/>
  <c r="D72" i="2"/>
  <c r="C72" i="2"/>
  <c r="B72" i="2"/>
  <c r="A72" i="2"/>
  <c r="L71" i="2"/>
  <c r="K71" i="2"/>
  <c r="J71" i="2"/>
  <c r="I71" i="2"/>
  <c r="H71" i="2"/>
  <c r="G71" i="2"/>
  <c r="F71" i="2"/>
  <c r="E71" i="2"/>
  <c r="D71" i="2"/>
  <c r="C71" i="2"/>
  <c r="B71" i="2"/>
  <c r="A71" i="2"/>
  <c r="L70" i="2"/>
  <c r="K70" i="2"/>
  <c r="J70" i="2"/>
  <c r="I70" i="2"/>
  <c r="H70" i="2"/>
  <c r="G70" i="2"/>
  <c r="F70" i="2"/>
  <c r="E70" i="2"/>
  <c r="D70" i="2"/>
  <c r="C70" i="2"/>
  <c r="B70" i="2"/>
  <c r="A70" i="2"/>
  <c r="L69" i="2"/>
  <c r="K69" i="2"/>
  <c r="J69" i="2"/>
  <c r="I69" i="2"/>
  <c r="H69" i="2"/>
  <c r="G69" i="2"/>
  <c r="F69" i="2"/>
  <c r="E69" i="2"/>
  <c r="D69" i="2"/>
  <c r="C69" i="2"/>
  <c r="B69" i="2"/>
  <c r="A69" i="2"/>
  <c r="L68" i="2"/>
  <c r="K68" i="2"/>
  <c r="J68" i="2"/>
  <c r="I68" i="2"/>
  <c r="H68" i="2"/>
  <c r="G68" i="2"/>
  <c r="F68" i="2"/>
  <c r="E68" i="2"/>
  <c r="D68" i="2"/>
  <c r="C68" i="2"/>
  <c r="B68" i="2"/>
  <c r="A68" i="2"/>
  <c r="L67" i="2"/>
  <c r="K67" i="2"/>
  <c r="J67" i="2"/>
  <c r="I67" i="2"/>
  <c r="H67" i="2"/>
  <c r="G67" i="2"/>
  <c r="F67" i="2"/>
  <c r="E67" i="2"/>
  <c r="D67" i="2"/>
  <c r="C67" i="2"/>
  <c r="B67" i="2"/>
  <c r="A67" i="2"/>
  <c r="L66" i="2"/>
  <c r="K66" i="2"/>
  <c r="J66" i="2"/>
  <c r="I66" i="2"/>
  <c r="H66" i="2"/>
  <c r="G66" i="2"/>
  <c r="F66" i="2"/>
  <c r="E66" i="2"/>
  <c r="D66" i="2"/>
  <c r="C66" i="2"/>
  <c r="B66" i="2"/>
  <c r="A66" i="2"/>
  <c r="L65" i="2"/>
  <c r="K65" i="2"/>
  <c r="J65" i="2"/>
  <c r="I65" i="2"/>
  <c r="H65" i="2"/>
  <c r="G65" i="2"/>
  <c r="F65" i="2"/>
  <c r="E65" i="2"/>
  <c r="D65" i="2"/>
  <c r="C65" i="2"/>
  <c r="B65" i="2"/>
  <c r="A65" i="2"/>
  <c r="L64" i="2"/>
  <c r="K64" i="2"/>
  <c r="J64" i="2"/>
  <c r="I64" i="2"/>
  <c r="H64" i="2"/>
  <c r="G64" i="2"/>
  <c r="F64" i="2"/>
  <c r="E64" i="2"/>
  <c r="D64" i="2"/>
  <c r="C64" i="2"/>
  <c r="B64" i="2"/>
  <c r="A64" i="2"/>
  <c r="L63" i="2"/>
  <c r="K63" i="2"/>
  <c r="J63" i="2"/>
  <c r="I63" i="2"/>
  <c r="H63" i="2"/>
  <c r="G63" i="2"/>
  <c r="F63" i="2"/>
  <c r="E63" i="2"/>
  <c r="D63" i="2"/>
  <c r="C63" i="2"/>
  <c r="B63" i="2"/>
  <c r="A63" i="2"/>
  <c r="L62" i="2"/>
  <c r="K62" i="2"/>
  <c r="J62" i="2"/>
  <c r="I62" i="2"/>
  <c r="H62" i="2"/>
  <c r="G62" i="2"/>
  <c r="F62" i="2"/>
  <c r="E62" i="2"/>
  <c r="D62" i="2"/>
  <c r="C62" i="2"/>
  <c r="B62" i="2"/>
  <c r="A62" i="2"/>
  <c r="L61" i="2"/>
  <c r="K61" i="2"/>
  <c r="J61" i="2"/>
  <c r="I61" i="2"/>
  <c r="H61" i="2"/>
  <c r="G61" i="2"/>
  <c r="F61" i="2"/>
  <c r="E61" i="2"/>
  <c r="D61" i="2"/>
  <c r="C61" i="2"/>
  <c r="B61" i="2"/>
  <c r="A61" i="2"/>
  <c r="L60" i="2"/>
  <c r="K60" i="2"/>
  <c r="J60" i="2"/>
  <c r="I60" i="2"/>
  <c r="H60" i="2"/>
  <c r="G60" i="2"/>
  <c r="F60" i="2"/>
  <c r="E60" i="2"/>
  <c r="D60" i="2"/>
  <c r="C60" i="2"/>
  <c r="B60" i="2"/>
  <c r="A60" i="2"/>
  <c r="L59" i="2"/>
  <c r="K59" i="2"/>
  <c r="J59" i="2"/>
  <c r="I59" i="2"/>
  <c r="H59" i="2"/>
  <c r="G59" i="2"/>
  <c r="F59" i="2"/>
  <c r="E59" i="2"/>
  <c r="D59" i="2"/>
  <c r="C59" i="2"/>
  <c r="B59" i="2"/>
  <c r="A59" i="2"/>
  <c r="L58" i="2"/>
  <c r="K58" i="2"/>
  <c r="J58" i="2"/>
  <c r="I58" i="2"/>
  <c r="H58" i="2"/>
  <c r="G58" i="2"/>
  <c r="F58" i="2"/>
  <c r="E58" i="2"/>
  <c r="D58" i="2"/>
  <c r="C58" i="2"/>
  <c r="B58" i="2"/>
  <c r="A58" i="2"/>
  <c r="L57" i="2"/>
  <c r="K57" i="2"/>
  <c r="J57" i="2"/>
  <c r="I57" i="2"/>
  <c r="H57" i="2"/>
  <c r="G57" i="2"/>
  <c r="F57" i="2"/>
  <c r="E57" i="2"/>
  <c r="D57" i="2"/>
  <c r="C57" i="2"/>
  <c r="B57" i="2"/>
  <c r="A57" i="2"/>
  <c r="L56" i="2"/>
  <c r="K56" i="2"/>
  <c r="J56" i="2"/>
  <c r="I56" i="2"/>
  <c r="H56" i="2"/>
  <c r="G56" i="2"/>
  <c r="F56" i="2"/>
  <c r="E56" i="2"/>
  <c r="D56" i="2"/>
  <c r="C56" i="2"/>
  <c r="B56" i="2"/>
  <c r="A56" i="2"/>
  <c r="L55" i="2"/>
  <c r="K55" i="2"/>
  <c r="J55" i="2"/>
  <c r="I55" i="2"/>
  <c r="H55" i="2"/>
  <c r="G55" i="2"/>
  <c r="F55" i="2"/>
  <c r="E55" i="2"/>
  <c r="D55" i="2"/>
  <c r="C55" i="2"/>
  <c r="B55" i="2"/>
  <c r="A55" i="2"/>
  <c r="L54" i="2"/>
  <c r="K54" i="2"/>
  <c r="J54" i="2"/>
  <c r="I54" i="2"/>
  <c r="H54" i="2"/>
  <c r="G54" i="2"/>
  <c r="F54" i="2"/>
  <c r="E54" i="2"/>
  <c r="D54" i="2"/>
  <c r="C54" i="2"/>
  <c r="B54" i="2"/>
  <c r="A54" i="2"/>
  <c r="L53" i="2"/>
  <c r="K53" i="2"/>
  <c r="J53" i="2"/>
  <c r="I53" i="2"/>
  <c r="H53" i="2"/>
  <c r="G53" i="2"/>
  <c r="F53" i="2"/>
  <c r="E53" i="2"/>
  <c r="D53" i="2"/>
  <c r="C53" i="2"/>
  <c r="B53" i="2"/>
  <c r="A53" i="2"/>
  <c r="L52" i="2"/>
  <c r="K52" i="2"/>
  <c r="J52" i="2"/>
  <c r="I52" i="2"/>
  <c r="H52" i="2"/>
  <c r="G52" i="2"/>
  <c r="F52" i="2"/>
  <c r="E52" i="2"/>
  <c r="D52" i="2"/>
  <c r="C52" i="2"/>
  <c r="B52" i="2"/>
  <c r="A52" i="2"/>
  <c r="L51" i="2"/>
  <c r="K51" i="2"/>
  <c r="J51" i="2"/>
  <c r="I51" i="2"/>
  <c r="H51" i="2"/>
  <c r="G51" i="2"/>
  <c r="F51" i="2"/>
  <c r="E51" i="2"/>
  <c r="D51" i="2"/>
  <c r="C51" i="2"/>
  <c r="B51" i="2"/>
  <c r="A51" i="2"/>
  <c r="L50" i="2"/>
  <c r="K50" i="2"/>
  <c r="J50" i="2"/>
  <c r="I50" i="2"/>
  <c r="H50" i="2"/>
  <c r="G50" i="2"/>
  <c r="F50" i="2"/>
  <c r="E50" i="2"/>
  <c r="D50" i="2"/>
  <c r="C50" i="2"/>
  <c r="B50" i="2"/>
  <c r="A50" i="2"/>
  <c r="L49" i="2"/>
  <c r="K49" i="2"/>
  <c r="J49" i="2"/>
  <c r="I49" i="2"/>
  <c r="H49" i="2"/>
  <c r="G49" i="2"/>
  <c r="F49" i="2"/>
  <c r="E49" i="2"/>
  <c r="D49" i="2"/>
  <c r="C49" i="2"/>
  <c r="B49" i="2"/>
  <c r="A49" i="2"/>
  <c r="L48" i="2"/>
  <c r="K48" i="2"/>
  <c r="J48" i="2"/>
  <c r="I48" i="2"/>
  <c r="H48" i="2"/>
  <c r="G48" i="2"/>
  <c r="F48" i="2"/>
  <c r="E48" i="2"/>
  <c r="D48" i="2"/>
  <c r="C48" i="2"/>
  <c r="B48" i="2"/>
  <c r="A48" i="2"/>
  <c r="L47" i="2"/>
  <c r="K47" i="2"/>
  <c r="J47" i="2"/>
  <c r="I47" i="2"/>
  <c r="H47" i="2"/>
  <c r="G47" i="2"/>
  <c r="F47" i="2"/>
  <c r="E47" i="2"/>
  <c r="D47" i="2"/>
  <c r="C47" i="2"/>
  <c r="B47" i="2"/>
  <c r="A47" i="2"/>
  <c r="L46" i="2"/>
  <c r="K46" i="2"/>
  <c r="J46" i="2"/>
  <c r="I46" i="2"/>
  <c r="H46" i="2"/>
  <c r="G46" i="2"/>
  <c r="F46" i="2"/>
  <c r="E46" i="2"/>
  <c r="D46" i="2"/>
  <c r="C46" i="2"/>
  <c r="B46" i="2"/>
  <c r="A46" i="2"/>
  <c r="L45" i="2"/>
  <c r="K45" i="2"/>
  <c r="J45" i="2"/>
  <c r="I45" i="2"/>
  <c r="H45" i="2"/>
  <c r="G45" i="2"/>
  <c r="F45" i="2"/>
  <c r="E45" i="2"/>
  <c r="D45" i="2"/>
  <c r="C45" i="2"/>
  <c r="B45" i="2"/>
  <c r="A45" i="2"/>
  <c r="L44" i="2"/>
  <c r="K44" i="2"/>
  <c r="J44" i="2"/>
  <c r="I44" i="2"/>
  <c r="H44" i="2"/>
  <c r="G44" i="2"/>
  <c r="F44" i="2"/>
  <c r="E44" i="2"/>
  <c r="D44" i="2"/>
  <c r="C44" i="2"/>
  <c r="B44" i="2"/>
  <c r="A44" i="2"/>
  <c r="L43" i="2"/>
  <c r="K43" i="2"/>
  <c r="J43" i="2"/>
  <c r="I43" i="2"/>
  <c r="H43" i="2"/>
  <c r="G43" i="2"/>
  <c r="F43" i="2"/>
  <c r="E43" i="2"/>
  <c r="D43" i="2"/>
  <c r="C43" i="2"/>
  <c r="B43" i="2"/>
  <c r="A43" i="2"/>
  <c r="L42" i="2"/>
  <c r="K42" i="2"/>
  <c r="J42" i="2"/>
  <c r="I42" i="2"/>
  <c r="H42" i="2"/>
  <c r="G42" i="2"/>
  <c r="F42" i="2"/>
  <c r="E42" i="2"/>
  <c r="D42" i="2"/>
  <c r="C42" i="2"/>
  <c r="B42" i="2"/>
  <c r="A42" i="2"/>
  <c r="L41" i="2"/>
  <c r="K41" i="2"/>
  <c r="J41" i="2"/>
  <c r="I41" i="2"/>
  <c r="H41" i="2"/>
  <c r="G41" i="2"/>
  <c r="F41" i="2"/>
  <c r="E41" i="2"/>
  <c r="D41" i="2"/>
  <c r="C41" i="2"/>
  <c r="B41" i="2"/>
  <c r="A41" i="2"/>
  <c r="L40" i="2"/>
  <c r="K40" i="2"/>
  <c r="J40" i="2"/>
  <c r="I40" i="2"/>
  <c r="H40" i="2"/>
  <c r="G40" i="2"/>
  <c r="F40" i="2"/>
  <c r="E40" i="2"/>
  <c r="D40" i="2"/>
  <c r="C40" i="2"/>
  <c r="B40" i="2"/>
  <c r="A40" i="2"/>
  <c r="L39" i="2"/>
  <c r="K39" i="2"/>
  <c r="J39" i="2"/>
  <c r="I39" i="2"/>
  <c r="H39" i="2"/>
  <c r="G39" i="2"/>
  <c r="F39" i="2"/>
  <c r="E39" i="2"/>
  <c r="D39" i="2"/>
  <c r="C39" i="2"/>
  <c r="B39" i="2"/>
  <c r="A39" i="2"/>
  <c r="L38" i="2"/>
  <c r="K38" i="2"/>
  <c r="J38" i="2"/>
  <c r="I38" i="2"/>
  <c r="H38" i="2"/>
  <c r="G38" i="2"/>
  <c r="F38" i="2"/>
  <c r="E38" i="2"/>
  <c r="D38" i="2"/>
  <c r="C38" i="2"/>
  <c r="B38" i="2"/>
  <c r="A38" i="2"/>
  <c r="L37" i="2"/>
  <c r="K37" i="2"/>
  <c r="J37" i="2"/>
  <c r="I37" i="2"/>
  <c r="H37" i="2"/>
  <c r="G37" i="2"/>
  <c r="F37" i="2"/>
  <c r="E37" i="2"/>
  <c r="D37" i="2"/>
  <c r="C37" i="2"/>
  <c r="B37" i="2"/>
  <c r="A37" i="2"/>
  <c r="L36" i="2"/>
  <c r="K36" i="2"/>
  <c r="J36" i="2"/>
  <c r="I36" i="2"/>
  <c r="H36" i="2"/>
  <c r="G36" i="2"/>
  <c r="F36" i="2"/>
  <c r="E36" i="2"/>
  <c r="D36" i="2"/>
  <c r="C36" i="2"/>
  <c r="B36" i="2"/>
  <c r="A36" i="2"/>
  <c r="L35" i="2"/>
  <c r="K35" i="2"/>
  <c r="J35" i="2"/>
  <c r="I35" i="2"/>
  <c r="H35" i="2"/>
  <c r="G35" i="2"/>
  <c r="F35" i="2"/>
  <c r="E35" i="2"/>
  <c r="D35" i="2"/>
  <c r="C35" i="2"/>
  <c r="B35" i="2"/>
  <c r="A35" i="2"/>
  <c r="L34" i="2"/>
  <c r="K34" i="2"/>
  <c r="J34" i="2"/>
  <c r="I34" i="2"/>
  <c r="H34" i="2"/>
  <c r="G34" i="2"/>
  <c r="F34" i="2"/>
  <c r="E34" i="2"/>
  <c r="D34" i="2"/>
  <c r="C34" i="2"/>
  <c r="B34" i="2"/>
  <c r="A34" i="2"/>
  <c r="L33" i="2"/>
  <c r="K33" i="2"/>
  <c r="J33" i="2"/>
  <c r="I33" i="2"/>
  <c r="H33" i="2"/>
  <c r="G33" i="2"/>
  <c r="F33" i="2"/>
  <c r="E33" i="2"/>
  <c r="D33" i="2"/>
  <c r="C33" i="2"/>
  <c r="B33" i="2"/>
  <c r="A33" i="2"/>
  <c r="L32" i="2"/>
  <c r="K32" i="2"/>
  <c r="J32" i="2"/>
  <c r="I32" i="2"/>
  <c r="H32" i="2"/>
  <c r="G32" i="2"/>
  <c r="F32" i="2"/>
  <c r="E32" i="2"/>
  <c r="D32" i="2"/>
  <c r="C32" i="2"/>
  <c r="B32" i="2"/>
  <c r="A32" i="2"/>
  <c r="L31" i="2"/>
  <c r="K31" i="2"/>
  <c r="J31" i="2"/>
  <c r="I31" i="2"/>
  <c r="H31" i="2"/>
  <c r="G31" i="2"/>
  <c r="F31" i="2"/>
  <c r="E31" i="2"/>
  <c r="D31" i="2"/>
  <c r="C31" i="2"/>
  <c r="B31" i="2"/>
  <c r="A31" i="2"/>
  <c r="L30" i="2"/>
  <c r="K30" i="2"/>
  <c r="J30" i="2"/>
  <c r="I30" i="2"/>
  <c r="H30" i="2"/>
  <c r="G30" i="2"/>
  <c r="F30" i="2"/>
  <c r="E30" i="2"/>
  <c r="D30" i="2"/>
  <c r="C30" i="2"/>
  <c r="B30" i="2"/>
  <c r="A30" i="2"/>
  <c r="L29" i="2"/>
  <c r="K29" i="2"/>
  <c r="J29" i="2"/>
  <c r="I29" i="2"/>
  <c r="H29" i="2"/>
  <c r="G29" i="2"/>
  <c r="F29" i="2"/>
  <c r="E29" i="2"/>
  <c r="D29" i="2"/>
  <c r="C29" i="2"/>
  <c r="B29" i="2"/>
  <c r="A29" i="2"/>
  <c r="L28" i="2"/>
  <c r="K28" i="2"/>
  <c r="J28" i="2"/>
  <c r="I28" i="2"/>
  <c r="H28" i="2"/>
  <c r="G28" i="2"/>
  <c r="F28" i="2"/>
  <c r="E28" i="2"/>
  <c r="D28" i="2"/>
  <c r="C28" i="2"/>
  <c r="B28" i="2"/>
  <c r="A28" i="2"/>
  <c r="L27" i="2"/>
  <c r="K27" i="2"/>
  <c r="J27" i="2"/>
  <c r="I27" i="2"/>
  <c r="H27" i="2"/>
  <c r="G27" i="2"/>
  <c r="F27" i="2"/>
  <c r="E27" i="2"/>
  <c r="D27" i="2"/>
  <c r="C27" i="2"/>
  <c r="B27" i="2"/>
  <c r="A27" i="2"/>
  <c r="L26" i="2"/>
  <c r="K26" i="2"/>
  <c r="J26" i="2"/>
  <c r="I26" i="2"/>
  <c r="H26" i="2"/>
  <c r="G26" i="2"/>
  <c r="F26" i="2"/>
  <c r="E26" i="2"/>
  <c r="D26" i="2"/>
  <c r="C26" i="2"/>
  <c r="B26" i="2"/>
  <c r="A26" i="2"/>
  <c r="L25" i="2"/>
  <c r="K25" i="2"/>
  <c r="J25" i="2"/>
  <c r="I25" i="2"/>
  <c r="H25" i="2"/>
  <c r="G25" i="2"/>
  <c r="F25" i="2"/>
  <c r="E25" i="2"/>
  <c r="D25" i="2"/>
  <c r="C25" i="2"/>
  <c r="B25" i="2"/>
  <c r="A25" i="2"/>
  <c r="L24" i="2"/>
  <c r="K24" i="2"/>
  <c r="J24" i="2"/>
  <c r="I24" i="2"/>
  <c r="H24" i="2"/>
  <c r="G24" i="2"/>
  <c r="F24" i="2"/>
  <c r="E24" i="2"/>
  <c r="D24" i="2"/>
  <c r="C24" i="2"/>
  <c r="B24" i="2"/>
  <c r="A24" i="2"/>
  <c r="L23" i="2"/>
  <c r="K23" i="2"/>
  <c r="J23" i="2"/>
  <c r="I23" i="2"/>
  <c r="H23" i="2"/>
  <c r="G23" i="2"/>
  <c r="F23" i="2"/>
  <c r="E23" i="2"/>
  <c r="D23" i="2"/>
  <c r="C23" i="2"/>
  <c r="B23" i="2"/>
  <c r="A23" i="2"/>
  <c r="L22" i="2"/>
  <c r="K22" i="2"/>
  <c r="J22" i="2"/>
  <c r="I22" i="2"/>
  <c r="H22" i="2"/>
  <c r="G22" i="2"/>
  <c r="F22" i="2"/>
  <c r="E22" i="2"/>
  <c r="D22" i="2"/>
  <c r="C22" i="2"/>
  <c r="B22" i="2"/>
  <c r="A22" i="2"/>
  <c r="L21" i="2"/>
  <c r="K21" i="2"/>
  <c r="J21" i="2"/>
  <c r="I21" i="2"/>
  <c r="H21" i="2"/>
  <c r="G21" i="2"/>
  <c r="F21" i="2"/>
  <c r="E21" i="2"/>
  <c r="D21" i="2"/>
  <c r="C21" i="2"/>
  <c r="B21" i="2"/>
  <c r="A21" i="2"/>
  <c r="L20" i="2"/>
  <c r="K20" i="2"/>
  <c r="J20" i="2"/>
  <c r="I20" i="2"/>
  <c r="H20" i="2"/>
  <c r="G20" i="2"/>
  <c r="F20" i="2"/>
  <c r="E20" i="2"/>
  <c r="D20" i="2"/>
  <c r="C20" i="2"/>
  <c r="B20" i="2"/>
  <c r="A20" i="2"/>
  <c r="L19" i="2"/>
  <c r="K19" i="2"/>
  <c r="J19" i="2"/>
  <c r="I19" i="2"/>
  <c r="H19" i="2"/>
  <c r="G19" i="2"/>
  <c r="F19" i="2"/>
  <c r="E19" i="2"/>
  <c r="D19" i="2"/>
  <c r="C19" i="2"/>
  <c r="B19" i="2"/>
  <c r="A19" i="2"/>
  <c r="L18" i="2"/>
  <c r="K18" i="2"/>
  <c r="J18" i="2"/>
  <c r="I18" i="2"/>
  <c r="H18" i="2"/>
  <c r="G18" i="2"/>
  <c r="F18" i="2"/>
  <c r="E18" i="2"/>
  <c r="D18" i="2"/>
  <c r="C18" i="2"/>
  <c r="B18" i="2"/>
  <c r="A18" i="2"/>
  <c r="L17" i="2"/>
  <c r="K17" i="2"/>
  <c r="J17" i="2"/>
  <c r="I17" i="2"/>
  <c r="H17" i="2"/>
  <c r="G17" i="2"/>
  <c r="F17" i="2"/>
  <c r="E17" i="2"/>
  <c r="D17" i="2"/>
  <c r="C17" i="2"/>
  <c r="B17" i="2"/>
  <c r="A17" i="2"/>
  <c r="L16" i="2"/>
  <c r="K16" i="2"/>
  <c r="J16" i="2"/>
  <c r="I16" i="2"/>
  <c r="H16" i="2"/>
  <c r="G16" i="2"/>
  <c r="F16" i="2"/>
  <c r="E16" i="2"/>
  <c r="D16" i="2"/>
  <c r="C16" i="2"/>
  <c r="B16" i="2"/>
  <c r="A16" i="2"/>
  <c r="L15" i="2"/>
  <c r="K15" i="2"/>
  <c r="J15" i="2"/>
  <c r="I15" i="2"/>
  <c r="H15" i="2"/>
  <c r="G15" i="2"/>
  <c r="F15" i="2"/>
  <c r="E15" i="2"/>
  <c r="D15" i="2"/>
  <c r="C15" i="2"/>
  <c r="B15" i="2"/>
  <c r="A15" i="2"/>
  <c r="L14" i="2"/>
  <c r="K14" i="2"/>
  <c r="J14" i="2"/>
  <c r="I14" i="2"/>
  <c r="H14" i="2"/>
  <c r="G14" i="2"/>
  <c r="F14" i="2"/>
  <c r="E14" i="2"/>
  <c r="D14" i="2"/>
  <c r="C14" i="2"/>
  <c r="B14" i="2"/>
  <c r="A14" i="2"/>
  <c r="L13" i="2"/>
  <c r="K13" i="2"/>
  <c r="J13" i="2"/>
  <c r="I13" i="2"/>
  <c r="H13" i="2"/>
  <c r="G13" i="2"/>
  <c r="F13" i="2"/>
  <c r="E13" i="2"/>
  <c r="D13" i="2"/>
  <c r="C13" i="2"/>
  <c r="B13" i="2"/>
  <c r="A13" i="2"/>
  <c r="L12" i="2"/>
  <c r="K12" i="2"/>
  <c r="J12" i="2"/>
  <c r="I12" i="2"/>
  <c r="H12" i="2"/>
  <c r="G12" i="2"/>
  <c r="F12" i="2"/>
  <c r="E12" i="2"/>
  <c r="D12" i="2"/>
  <c r="C12" i="2"/>
  <c r="B12" i="2"/>
  <c r="A12" i="2"/>
  <c r="L11" i="2"/>
  <c r="K11" i="2"/>
  <c r="J11" i="2"/>
  <c r="I11" i="2"/>
  <c r="H11" i="2"/>
  <c r="G11" i="2"/>
  <c r="F11" i="2"/>
  <c r="E11" i="2"/>
  <c r="D11" i="2"/>
  <c r="C11" i="2"/>
  <c r="B11" i="2"/>
  <c r="A11" i="2"/>
  <c r="L10" i="2"/>
  <c r="K10" i="2"/>
  <c r="J10" i="2"/>
  <c r="I10" i="2"/>
  <c r="H10" i="2"/>
  <c r="G10" i="2"/>
  <c r="F10" i="2"/>
  <c r="E10" i="2"/>
  <c r="D10" i="2"/>
  <c r="C10" i="2"/>
  <c r="B10" i="2"/>
  <c r="A10" i="2"/>
  <c r="L9" i="2"/>
  <c r="K9" i="2"/>
  <c r="J9" i="2"/>
  <c r="I9" i="2"/>
  <c r="H9" i="2"/>
  <c r="G9" i="2"/>
  <c r="F9" i="2"/>
  <c r="E9" i="2"/>
  <c r="D9" i="2"/>
  <c r="C9" i="2"/>
  <c r="B9" i="2"/>
  <c r="A9" i="2"/>
  <c r="L8" i="2"/>
  <c r="K8" i="2"/>
  <c r="J8" i="2"/>
  <c r="I8" i="2"/>
  <c r="H8" i="2"/>
  <c r="G8" i="2"/>
  <c r="F8" i="2"/>
  <c r="E8" i="2"/>
  <c r="D8" i="2"/>
  <c r="C8" i="2"/>
  <c r="B8" i="2"/>
  <c r="A8" i="2"/>
  <c r="L7" i="2"/>
  <c r="K7" i="2"/>
  <c r="J7" i="2"/>
  <c r="I7" i="2"/>
  <c r="H7" i="2"/>
  <c r="G7" i="2"/>
  <c r="F7" i="2"/>
  <c r="E7" i="2"/>
  <c r="D7" i="2"/>
  <c r="C7" i="2"/>
  <c r="B7" i="2"/>
  <c r="A7" i="2"/>
  <c r="L6" i="2"/>
  <c r="K6" i="2"/>
  <c r="J6" i="2"/>
  <c r="I6" i="2"/>
  <c r="H6" i="2"/>
  <c r="G6" i="2"/>
  <c r="F6" i="2"/>
  <c r="E6" i="2"/>
  <c r="D6" i="2"/>
  <c r="C6" i="2"/>
  <c r="B6" i="2"/>
  <c r="A6" i="2"/>
  <c r="L5" i="2"/>
  <c r="K5" i="2"/>
  <c r="J5" i="2"/>
  <c r="I5" i="2"/>
  <c r="H5" i="2"/>
  <c r="G5" i="2"/>
  <c r="F5" i="2"/>
  <c r="E5" i="2"/>
  <c r="D5" i="2"/>
  <c r="C5" i="2"/>
  <c r="B5" i="2"/>
  <c r="A5" i="2"/>
  <c r="L4" i="2"/>
  <c r="K4" i="2"/>
  <c r="J4" i="2"/>
  <c r="I4" i="2"/>
  <c r="H4" i="2"/>
  <c r="G4" i="2"/>
  <c r="F4" i="2"/>
  <c r="E4" i="2"/>
  <c r="D4" i="2"/>
  <c r="C4" i="2"/>
  <c r="B4" i="2"/>
  <c r="A4" i="2"/>
  <c r="L3" i="2"/>
  <c r="K3" i="2"/>
  <c r="J3" i="2"/>
  <c r="I3" i="2"/>
  <c r="H3" i="2"/>
  <c r="G3" i="2"/>
  <c r="F3" i="2"/>
  <c r="E3" i="2"/>
  <c r="D3" i="2"/>
  <c r="C3" i="2"/>
  <c r="B3" i="2"/>
  <c r="A3" i="2"/>
  <c r="L2" i="2"/>
  <c r="K2" i="2"/>
  <c r="J2" i="2"/>
  <c r="I2" i="2"/>
  <c r="H2" i="2"/>
  <c r="G2" i="2"/>
  <c r="F2" i="2"/>
  <c r="E2" i="2"/>
  <c r="D2" i="2"/>
  <c r="C2" i="2"/>
  <c r="B2" i="2"/>
  <c r="A2" i="2"/>
  <c r="L1" i="2"/>
  <c r="K1" i="2"/>
  <c r="J1" i="2"/>
  <c r="I1" i="2"/>
  <c r="H1" i="2"/>
  <c r="G1" i="2"/>
  <c r="F1" i="2"/>
  <c r="E1" i="2"/>
  <c r="D1" i="2"/>
  <c r="C1" i="2"/>
  <c r="B1" i="2"/>
  <c r="A1" i="2"/>
  <c r="C2" i="11" l="1"/>
  <c r="D6" i="12" s="1"/>
  <c r="J6" i="12" s="1"/>
  <c r="C2" i="10"/>
  <c r="D5" i="12" s="1"/>
  <c r="J5" i="12" s="1"/>
  <c r="C2" i="9"/>
  <c r="D4" i="12" s="1"/>
  <c r="J4" i="12" s="1"/>
  <c r="C2" i="8"/>
  <c r="D3" i="12" s="1"/>
  <c r="J3" i="12" s="1"/>
  <c r="C2" i="7"/>
  <c r="D2" i="12" s="1"/>
  <c r="J2" i="12" s="1"/>
  <c r="D2" i="11"/>
  <c r="E6" i="12" s="1"/>
  <c r="K6" i="12" s="1"/>
  <c r="D2" i="10"/>
  <c r="E5" i="12" s="1"/>
  <c r="K5" i="12" s="1"/>
  <c r="D2" i="9"/>
  <c r="E4" i="12" s="1"/>
  <c r="K4" i="12" s="1"/>
  <c r="D2" i="8"/>
  <c r="E3" i="12" s="1"/>
  <c r="K3" i="12" s="1"/>
  <c r="D2" i="7"/>
  <c r="E2" i="12" s="1"/>
  <c r="K2" i="12" s="1"/>
  <c r="E2" i="11"/>
  <c r="F6" i="12" s="1"/>
  <c r="E2" i="10"/>
  <c r="F5" i="12" s="1"/>
  <c r="E2" i="9"/>
  <c r="F4" i="12" s="1"/>
  <c r="E2" i="8"/>
  <c r="F3" i="12" s="1"/>
  <c r="E2" i="7"/>
  <c r="F2" i="12" s="1"/>
  <c r="F2" i="11"/>
  <c r="G6" i="12" s="1"/>
  <c r="F2" i="10"/>
  <c r="G5" i="12" s="1"/>
  <c r="F2" i="9"/>
  <c r="G4" i="12" s="1"/>
  <c r="F2" i="8"/>
  <c r="G3" i="12" s="1"/>
  <c r="F2" i="7"/>
  <c r="G2" i="12" s="1"/>
  <c r="G2" i="11"/>
  <c r="H6" i="12" s="1"/>
  <c r="G2" i="10"/>
  <c r="H5" i="12" s="1"/>
  <c r="G2" i="9"/>
  <c r="H4" i="12" s="1"/>
  <c r="G2" i="8"/>
  <c r="H3" i="12" s="1"/>
  <c r="G2" i="7"/>
  <c r="H2" i="12" s="1"/>
  <c r="H2" i="11"/>
  <c r="I6" i="12" s="1"/>
  <c r="H2" i="10"/>
  <c r="I5" i="12" s="1"/>
  <c r="H2" i="9"/>
  <c r="I4" i="12" s="1"/>
  <c r="H2" i="8"/>
  <c r="I3" i="12" s="1"/>
  <c r="H2" i="7"/>
  <c r="I2" i="12" s="1"/>
  <c r="C3" i="11"/>
  <c r="C3" i="10"/>
  <c r="C3" i="9"/>
  <c r="C3" i="8"/>
  <c r="C3" i="7"/>
  <c r="D3" i="11"/>
  <c r="D3" i="10"/>
  <c r="D3" i="9"/>
  <c r="D3" i="8"/>
  <c r="D3" i="7"/>
  <c r="E3" i="11"/>
  <c r="E3" i="10"/>
  <c r="E3" i="9"/>
  <c r="E3" i="8"/>
  <c r="E3" i="7"/>
  <c r="F3" i="11"/>
  <c r="F3" i="10"/>
  <c r="F3" i="9"/>
  <c r="F3" i="8"/>
  <c r="F3" i="7"/>
  <c r="G3" i="11"/>
  <c r="G3" i="10"/>
  <c r="G3" i="9"/>
  <c r="G3" i="8"/>
  <c r="G3" i="7"/>
  <c r="H3" i="11"/>
  <c r="H3" i="10"/>
  <c r="H3" i="9"/>
  <c r="H3" i="8"/>
  <c r="H3" i="7"/>
  <c r="C4" i="11"/>
  <c r="D11" i="12" s="1"/>
  <c r="J11" i="12" s="1"/>
  <c r="C4" i="10"/>
  <c r="D10" i="12" s="1"/>
  <c r="J10" i="12" s="1"/>
  <c r="C4" i="9"/>
  <c r="D9" i="12" s="1"/>
  <c r="J9" i="12" s="1"/>
  <c r="C4" i="8"/>
  <c r="D8" i="12" s="1"/>
  <c r="J8" i="12" s="1"/>
  <c r="C4" i="7"/>
  <c r="D7" i="12" s="1"/>
  <c r="J7" i="12" s="1"/>
  <c r="D4" i="11"/>
  <c r="E11" i="12" s="1"/>
  <c r="K11" i="12" s="1"/>
  <c r="D4" i="10"/>
  <c r="E10" i="12" s="1"/>
  <c r="K10" i="12" s="1"/>
  <c r="D4" i="9"/>
  <c r="E9" i="12" s="1"/>
  <c r="K9" i="12" s="1"/>
  <c r="D4" i="8"/>
  <c r="E8" i="12" s="1"/>
  <c r="K8" i="12" s="1"/>
  <c r="D4" i="7"/>
  <c r="E7" i="12" s="1"/>
  <c r="K7" i="12" s="1"/>
  <c r="E4" i="11"/>
  <c r="F11" i="12" s="1"/>
  <c r="E4" i="10"/>
  <c r="F10" i="12" s="1"/>
  <c r="E4" i="9"/>
  <c r="F9" i="12" s="1"/>
  <c r="E4" i="8"/>
  <c r="F8" i="12" s="1"/>
  <c r="E4" i="7"/>
  <c r="F7" i="12" s="1"/>
  <c r="F4" i="11"/>
  <c r="G11" i="12" s="1"/>
  <c r="F4" i="10"/>
  <c r="G10" i="12" s="1"/>
  <c r="F4" i="9"/>
  <c r="G9" i="12" s="1"/>
  <c r="F4" i="8"/>
  <c r="G8" i="12" s="1"/>
  <c r="F4" i="7"/>
  <c r="G7" i="12" s="1"/>
  <c r="G4" i="11"/>
  <c r="H11" i="12" s="1"/>
  <c r="G4" i="10"/>
  <c r="H10" i="12" s="1"/>
  <c r="G4" i="9"/>
  <c r="H9" i="12" s="1"/>
  <c r="G4" i="8"/>
  <c r="H8" i="12" s="1"/>
  <c r="G4" i="7"/>
  <c r="H7" i="12" s="1"/>
  <c r="H4" i="11"/>
  <c r="I11" i="12" s="1"/>
  <c r="H4" i="10"/>
  <c r="I10" i="12" s="1"/>
  <c r="H4" i="9"/>
  <c r="I9" i="12" s="1"/>
  <c r="H4" i="8"/>
  <c r="I8" i="12" s="1"/>
  <c r="H4" i="7"/>
  <c r="I7" i="12" s="1"/>
  <c r="C5" i="11"/>
  <c r="D16" i="12" s="1"/>
  <c r="J16" i="12" s="1"/>
  <c r="C5" i="10"/>
  <c r="D15" i="12" s="1"/>
  <c r="J15" i="12" s="1"/>
  <c r="C5" i="9"/>
  <c r="D14" i="12" s="1"/>
  <c r="J14" i="12" s="1"/>
  <c r="C5" i="8"/>
  <c r="D13" i="12" s="1"/>
  <c r="J13" i="12" s="1"/>
  <c r="C5" i="7"/>
  <c r="D12" i="12" s="1"/>
  <c r="J12" i="12" s="1"/>
  <c r="D5" i="11"/>
  <c r="E16" i="12" s="1"/>
  <c r="K16" i="12" s="1"/>
  <c r="D5" i="10"/>
  <c r="E15" i="12" s="1"/>
  <c r="K15" i="12" s="1"/>
  <c r="D5" i="9"/>
  <c r="E14" i="12" s="1"/>
  <c r="K14" i="12" s="1"/>
  <c r="D5" i="8"/>
  <c r="E13" i="12" s="1"/>
  <c r="K13" i="12" s="1"/>
  <c r="D5" i="7"/>
  <c r="E12" i="12" s="1"/>
  <c r="K12" i="12" s="1"/>
  <c r="E5" i="11"/>
  <c r="F16" i="12" s="1"/>
  <c r="E5" i="10"/>
  <c r="F15" i="12" s="1"/>
  <c r="E5" i="9"/>
  <c r="F14" i="12" s="1"/>
  <c r="E5" i="8"/>
  <c r="F13" i="12" s="1"/>
  <c r="E5" i="7"/>
  <c r="F12" i="12" s="1"/>
  <c r="F5" i="11"/>
  <c r="G16" i="12" s="1"/>
  <c r="F5" i="10"/>
  <c r="G15" i="12" s="1"/>
  <c r="F5" i="9"/>
  <c r="G14" i="12" s="1"/>
  <c r="F5" i="8"/>
  <c r="G13" i="12" s="1"/>
  <c r="F5" i="7"/>
  <c r="G12" i="12" s="1"/>
  <c r="G5" i="11"/>
  <c r="H16" i="12" s="1"/>
  <c r="G5" i="10"/>
  <c r="H15" i="12" s="1"/>
  <c r="G5" i="9"/>
  <c r="H14" i="12" s="1"/>
  <c r="G5" i="8"/>
  <c r="H13" i="12" s="1"/>
  <c r="G5" i="7"/>
  <c r="H12" i="12" s="1"/>
  <c r="H5" i="11"/>
  <c r="I16" i="12" s="1"/>
  <c r="H5" i="10"/>
  <c r="I15" i="12" s="1"/>
  <c r="H5" i="9"/>
  <c r="I14" i="12" s="1"/>
  <c r="H5" i="8"/>
  <c r="I13" i="12" s="1"/>
  <c r="H5" i="7"/>
  <c r="I12" i="12" s="1"/>
  <c r="C6" i="11"/>
  <c r="C6" i="10"/>
  <c r="C6" i="9"/>
  <c r="C6" i="8"/>
  <c r="C6" i="7"/>
  <c r="D6" i="11"/>
  <c r="D6" i="10"/>
  <c r="D6" i="9"/>
  <c r="D6" i="8"/>
  <c r="D6" i="7"/>
  <c r="E6" i="11"/>
  <c r="E6" i="10"/>
  <c r="E6" i="9"/>
  <c r="E6" i="8"/>
  <c r="E6" i="7"/>
  <c r="F6" i="11"/>
  <c r="F6" i="10"/>
  <c r="F6" i="9"/>
  <c r="F6" i="8"/>
  <c r="F6" i="7"/>
  <c r="G6" i="11"/>
  <c r="G6" i="10"/>
  <c r="G6" i="9"/>
  <c r="G6" i="8"/>
  <c r="G6" i="7"/>
  <c r="H6" i="11"/>
  <c r="H6" i="10"/>
  <c r="H6" i="9"/>
  <c r="H6" i="8"/>
  <c r="H6" i="7"/>
  <c r="C7" i="11"/>
  <c r="D21" i="12" s="1"/>
  <c r="J21" i="12" s="1"/>
  <c r="C7" i="10"/>
  <c r="D20" i="12" s="1"/>
  <c r="J20" i="12" s="1"/>
  <c r="C7" i="9"/>
  <c r="D19" i="12" s="1"/>
  <c r="J19" i="12" s="1"/>
  <c r="C7" i="8"/>
  <c r="D18" i="12" s="1"/>
  <c r="J18" i="12" s="1"/>
  <c r="C7" i="7"/>
  <c r="D17" i="12" s="1"/>
  <c r="J17" i="12" s="1"/>
  <c r="D7" i="11"/>
  <c r="E21" i="12" s="1"/>
  <c r="K21" i="12" s="1"/>
  <c r="D7" i="10"/>
  <c r="E20" i="12" s="1"/>
  <c r="K20" i="12" s="1"/>
  <c r="D7" i="9"/>
  <c r="E19" i="12" s="1"/>
  <c r="K19" i="12" s="1"/>
  <c r="D7" i="8"/>
  <c r="E18" i="12" s="1"/>
  <c r="K18" i="12" s="1"/>
  <c r="D7" i="7"/>
  <c r="E17" i="12" s="1"/>
  <c r="K17" i="12" s="1"/>
  <c r="E7" i="11"/>
  <c r="F21" i="12" s="1"/>
  <c r="E7" i="10"/>
  <c r="F20" i="12" s="1"/>
  <c r="E7" i="9"/>
  <c r="F19" i="12" s="1"/>
  <c r="E7" i="8"/>
  <c r="F18" i="12" s="1"/>
  <c r="E7" i="7"/>
  <c r="F17" i="12" s="1"/>
  <c r="F7" i="11"/>
  <c r="G21" i="12" s="1"/>
  <c r="F7" i="10"/>
  <c r="G20" i="12" s="1"/>
  <c r="F7" i="9"/>
  <c r="G19" i="12" s="1"/>
  <c r="F7" i="8"/>
  <c r="G18" i="12" s="1"/>
  <c r="F7" i="7"/>
  <c r="G17" i="12" s="1"/>
  <c r="G7" i="11"/>
  <c r="H21" i="12" s="1"/>
  <c r="G7" i="10"/>
  <c r="H20" i="12" s="1"/>
  <c r="G7" i="9"/>
  <c r="H19" i="12" s="1"/>
  <c r="G7" i="8"/>
  <c r="H18" i="12" s="1"/>
  <c r="G7" i="7"/>
  <c r="H17" i="12" s="1"/>
  <c r="H7" i="11"/>
  <c r="I21" i="12" s="1"/>
  <c r="H7" i="10"/>
  <c r="I20" i="12" s="1"/>
  <c r="H7" i="9"/>
  <c r="I19" i="12" s="1"/>
  <c r="H7" i="8"/>
  <c r="I18" i="12" s="1"/>
  <c r="H7" i="7"/>
  <c r="I17" i="12" s="1"/>
  <c r="C8" i="11"/>
  <c r="C8" i="10"/>
  <c r="C8" i="9"/>
  <c r="C8" i="8"/>
  <c r="C8" i="7"/>
  <c r="D8" i="11"/>
  <c r="D8" i="10"/>
  <c r="D8" i="9"/>
  <c r="D8" i="8"/>
  <c r="D8" i="7"/>
  <c r="E8" i="11"/>
  <c r="E8" i="10"/>
  <c r="E8" i="9"/>
  <c r="E8" i="8"/>
  <c r="E8" i="7"/>
  <c r="F8" i="11"/>
  <c r="F8" i="10"/>
  <c r="F8" i="9"/>
  <c r="F8" i="8"/>
  <c r="F8" i="7"/>
  <c r="G8" i="11"/>
  <c r="G8" i="10"/>
  <c r="G8" i="9"/>
  <c r="G8" i="8"/>
  <c r="G8" i="7"/>
  <c r="H8" i="11"/>
  <c r="H8" i="10"/>
  <c r="H8" i="9"/>
  <c r="H8" i="8"/>
  <c r="H8" i="7"/>
  <c r="C9" i="11"/>
  <c r="C9" i="10"/>
  <c r="C9" i="9"/>
  <c r="C9" i="8"/>
  <c r="C9" i="7"/>
  <c r="D9" i="11"/>
  <c r="D9" i="10"/>
  <c r="D9" i="9"/>
  <c r="D9" i="8"/>
  <c r="D9" i="7"/>
  <c r="E9" i="11"/>
  <c r="E9" i="10"/>
  <c r="E9" i="9"/>
  <c r="E9" i="8"/>
  <c r="E9" i="7"/>
  <c r="F9" i="11"/>
  <c r="F9" i="10"/>
  <c r="F9" i="9"/>
  <c r="F9" i="8"/>
  <c r="F9" i="7"/>
  <c r="G9" i="11"/>
  <c r="G9" i="10"/>
  <c r="G9" i="9"/>
  <c r="G9" i="8"/>
  <c r="G9" i="7"/>
  <c r="H9" i="11"/>
  <c r="H9" i="10"/>
  <c r="H9" i="9"/>
  <c r="H9" i="8"/>
  <c r="H9" i="7"/>
  <c r="C10" i="11"/>
  <c r="C10" i="10"/>
  <c r="C10" i="9"/>
  <c r="C10" i="8"/>
  <c r="C10" i="7"/>
  <c r="D10" i="11"/>
  <c r="D10" i="10"/>
  <c r="D10" i="9"/>
  <c r="D10" i="8"/>
  <c r="D10" i="7"/>
  <c r="E10" i="11"/>
  <c r="E10" i="10"/>
  <c r="E10" i="9"/>
  <c r="E10" i="8"/>
  <c r="E10" i="7"/>
  <c r="F10" i="11"/>
  <c r="F10" i="10"/>
  <c r="F10" i="9"/>
  <c r="F10" i="8"/>
  <c r="F10" i="7"/>
  <c r="G10" i="11"/>
  <c r="G10" i="10"/>
  <c r="G10" i="9"/>
  <c r="G10" i="8"/>
  <c r="G10" i="7"/>
  <c r="H10" i="11"/>
  <c r="H10" i="10"/>
  <c r="H10" i="9"/>
  <c r="H10" i="8"/>
  <c r="H10" i="7"/>
  <c r="C11" i="11"/>
  <c r="D26" i="12" s="1"/>
  <c r="J26" i="12" s="1"/>
  <c r="C11" i="10"/>
  <c r="D25" i="12" s="1"/>
  <c r="J25" i="12" s="1"/>
  <c r="C11" i="9"/>
  <c r="D24" i="12" s="1"/>
  <c r="J24" i="12" s="1"/>
  <c r="C11" i="8"/>
  <c r="D23" i="12" s="1"/>
  <c r="J23" i="12" s="1"/>
  <c r="C11" i="7"/>
  <c r="D22" i="12" s="1"/>
  <c r="J22" i="12" s="1"/>
  <c r="D11" i="11"/>
  <c r="E26" i="12" s="1"/>
  <c r="K26" i="12" s="1"/>
  <c r="D11" i="10"/>
  <c r="E25" i="12" s="1"/>
  <c r="K25" i="12" s="1"/>
  <c r="D11" i="9"/>
  <c r="E24" i="12" s="1"/>
  <c r="K24" i="12" s="1"/>
  <c r="D11" i="8"/>
  <c r="E23" i="12" s="1"/>
  <c r="K23" i="12" s="1"/>
  <c r="D11" i="7"/>
  <c r="E22" i="12" s="1"/>
  <c r="K22" i="12" s="1"/>
  <c r="E11" i="11"/>
  <c r="F26" i="12" s="1"/>
  <c r="E11" i="10"/>
  <c r="F25" i="12" s="1"/>
  <c r="E11" i="9"/>
  <c r="F24" i="12" s="1"/>
  <c r="E11" i="8"/>
  <c r="F23" i="12" s="1"/>
  <c r="E11" i="7"/>
  <c r="F22" i="12" s="1"/>
  <c r="F11" i="11"/>
  <c r="G26" i="12" s="1"/>
  <c r="F11" i="10"/>
  <c r="G25" i="12" s="1"/>
  <c r="F11" i="9"/>
  <c r="G24" i="12" s="1"/>
  <c r="F11" i="8"/>
  <c r="G23" i="12" s="1"/>
  <c r="F11" i="7"/>
  <c r="G22" i="12" s="1"/>
  <c r="G11" i="11"/>
  <c r="H26" i="12" s="1"/>
  <c r="G11" i="10"/>
  <c r="H25" i="12" s="1"/>
  <c r="G11" i="9"/>
  <c r="H24" i="12" s="1"/>
  <c r="G11" i="8"/>
  <c r="H23" i="12" s="1"/>
  <c r="G11" i="7"/>
  <c r="H22" i="12" s="1"/>
  <c r="H11" i="11"/>
  <c r="I26" i="12" s="1"/>
  <c r="H11" i="10"/>
  <c r="I25" i="12" s="1"/>
  <c r="H11" i="9"/>
  <c r="I24" i="12" s="1"/>
  <c r="H11" i="8"/>
  <c r="I23" i="12" s="1"/>
  <c r="H11" i="7"/>
  <c r="I22" i="12" s="1"/>
  <c r="C12" i="11"/>
  <c r="C12" i="10"/>
  <c r="C12" i="9"/>
  <c r="C12" i="8"/>
  <c r="C12" i="7"/>
  <c r="D12" i="11"/>
  <c r="D12" i="10"/>
  <c r="D12" i="9"/>
  <c r="D12" i="8"/>
  <c r="D12" i="7"/>
  <c r="E12" i="11"/>
  <c r="E12" i="10"/>
  <c r="E12" i="9"/>
  <c r="E12" i="8"/>
  <c r="E12" i="7"/>
  <c r="F12" i="11"/>
  <c r="F12" i="10"/>
  <c r="F12" i="9"/>
  <c r="F12" i="8"/>
  <c r="F12" i="7"/>
  <c r="G12" i="11"/>
  <c r="G12" i="10"/>
  <c r="G12" i="9"/>
  <c r="G12" i="8"/>
  <c r="G12" i="7"/>
  <c r="H12" i="11"/>
  <c r="H12" i="10"/>
  <c r="H12" i="9"/>
  <c r="H12" i="8"/>
  <c r="H12" i="7"/>
  <c r="C13" i="11"/>
  <c r="C13" i="10"/>
  <c r="C13" i="9"/>
  <c r="C13" i="8"/>
  <c r="C13" i="7"/>
  <c r="D13" i="11"/>
  <c r="D13" i="10"/>
  <c r="D13" i="9"/>
  <c r="D13" i="8"/>
  <c r="D13" i="7"/>
  <c r="E13" i="11"/>
  <c r="E13" i="10"/>
  <c r="E13" i="9"/>
  <c r="E13" i="8"/>
  <c r="E13" i="7"/>
  <c r="F13" i="11"/>
  <c r="F13" i="10"/>
  <c r="F13" i="9"/>
  <c r="F13" i="8"/>
  <c r="F13" i="7"/>
  <c r="G13" i="11"/>
  <c r="G13" i="10"/>
  <c r="G13" i="9"/>
  <c r="G13" i="8"/>
  <c r="G13" i="7"/>
  <c r="H13" i="11"/>
  <c r="H13" i="10"/>
  <c r="H13" i="9"/>
  <c r="H13" i="8"/>
  <c r="H13" i="7"/>
  <c r="C14" i="11"/>
  <c r="C14" i="10"/>
  <c r="C14" i="9"/>
  <c r="C14" i="8"/>
  <c r="C14" i="7"/>
  <c r="D14" i="11"/>
  <c r="D14" i="10"/>
  <c r="D14" i="9"/>
  <c r="D14" i="8"/>
  <c r="D14" i="7"/>
  <c r="E14" i="11"/>
  <c r="E14" i="10"/>
  <c r="E14" i="9"/>
  <c r="E14" i="8"/>
  <c r="E14" i="7"/>
  <c r="F14" i="11"/>
  <c r="F14" i="10"/>
  <c r="F14" i="9"/>
  <c r="F14" i="8"/>
  <c r="F14" i="7"/>
  <c r="G14" i="11"/>
  <c r="G14" i="10"/>
  <c r="G14" i="9"/>
  <c r="G14" i="8"/>
  <c r="G14" i="7"/>
  <c r="H14" i="11"/>
  <c r="H14" i="10"/>
  <c r="H14" i="9"/>
  <c r="H14" i="8"/>
  <c r="H14" i="7"/>
  <c r="C15" i="11"/>
  <c r="D31" i="12" s="1"/>
  <c r="J31" i="12" s="1"/>
  <c r="C15" i="10"/>
  <c r="D30" i="12" s="1"/>
  <c r="J30" i="12" s="1"/>
  <c r="C15" i="9"/>
  <c r="D29" i="12" s="1"/>
  <c r="J29" i="12" s="1"/>
  <c r="C15" i="8"/>
  <c r="D28" i="12" s="1"/>
  <c r="J28" i="12" s="1"/>
  <c r="C15" i="7"/>
  <c r="D27" i="12" s="1"/>
  <c r="J27" i="12" s="1"/>
  <c r="D15" i="11"/>
  <c r="E31" i="12" s="1"/>
  <c r="K31" i="12" s="1"/>
  <c r="D15" i="10"/>
  <c r="E30" i="12" s="1"/>
  <c r="K30" i="12" s="1"/>
  <c r="D15" i="9"/>
  <c r="E29" i="12" s="1"/>
  <c r="K29" i="12" s="1"/>
  <c r="D15" i="8"/>
  <c r="E28" i="12" s="1"/>
  <c r="K28" i="12" s="1"/>
  <c r="D15" i="7"/>
  <c r="E27" i="12" s="1"/>
  <c r="K27" i="12" s="1"/>
  <c r="E15" i="11"/>
  <c r="F31" i="12" s="1"/>
  <c r="E15" i="10"/>
  <c r="F30" i="12" s="1"/>
  <c r="E15" i="9"/>
  <c r="F29" i="12" s="1"/>
  <c r="E15" i="8"/>
  <c r="F28" i="12" s="1"/>
  <c r="E15" i="7"/>
  <c r="F27" i="12" s="1"/>
  <c r="F15" i="11"/>
  <c r="G31" i="12" s="1"/>
  <c r="F15" i="10"/>
  <c r="G30" i="12" s="1"/>
  <c r="F15" i="9"/>
  <c r="G29" i="12" s="1"/>
  <c r="F15" i="8"/>
  <c r="G28" i="12" s="1"/>
  <c r="F15" i="7"/>
  <c r="G27" i="12" s="1"/>
  <c r="G15" i="11"/>
  <c r="H31" i="12" s="1"/>
  <c r="G15" i="10"/>
  <c r="H30" i="12" s="1"/>
  <c r="G15" i="9"/>
  <c r="H29" i="12" s="1"/>
  <c r="G15" i="8"/>
  <c r="H28" i="12" s="1"/>
  <c r="G15" i="7"/>
  <c r="H27" i="12" s="1"/>
  <c r="H15" i="11"/>
  <c r="I31" i="12" s="1"/>
  <c r="H15" i="10"/>
  <c r="I30" i="12" s="1"/>
  <c r="H15" i="9"/>
  <c r="I29" i="12" s="1"/>
  <c r="H15" i="8"/>
  <c r="I28" i="12" s="1"/>
  <c r="H15" i="7"/>
  <c r="I27" i="12" s="1"/>
  <c r="C16" i="11"/>
  <c r="C16" i="10"/>
  <c r="C16" i="9"/>
  <c r="C16" i="8"/>
  <c r="C16" i="7"/>
  <c r="D16" i="11"/>
  <c r="D16" i="10"/>
  <c r="D16" i="9"/>
  <c r="D16" i="8"/>
  <c r="D16" i="7"/>
  <c r="E16" i="11"/>
  <c r="E16" i="10"/>
  <c r="E16" i="9"/>
  <c r="E16" i="8"/>
  <c r="E16" i="7"/>
  <c r="F16" i="11"/>
  <c r="F16" i="10"/>
  <c r="F16" i="9"/>
  <c r="F16" i="8"/>
  <c r="F16" i="7"/>
  <c r="G16" i="11"/>
  <c r="G16" i="10"/>
  <c r="G16" i="9"/>
  <c r="G16" i="8"/>
  <c r="G16" i="7"/>
  <c r="H16" i="11"/>
  <c r="H16" i="10"/>
  <c r="H16" i="9"/>
  <c r="H16" i="8"/>
  <c r="H16" i="7"/>
  <c r="C17" i="11"/>
  <c r="C17" i="10"/>
  <c r="C17" i="9"/>
  <c r="C17" i="8"/>
  <c r="C17" i="7"/>
  <c r="D17" i="11"/>
  <c r="D17" i="10"/>
  <c r="D17" i="9"/>
  <c r="D17" i="8"/>
  <c r="D17" i="7"/>
  <c r="E17" i="11"/>
  <c r="E17" i="10"/>
  <c r="E17" i="9"/>
  <c r="E17" i="8"/>
  <c r="E17" i="7"/>
  <c r="F17" i="11"/>
  <c r="F17" i="10"/>
  <c r="F17" i="9"/>
  <c r="F17" i="8"/>
  <c r="F17" i="7"/>
  <c r="G17" i="11"/>
  <c r="G17" i="10"/>
  <c r="G17" i="9"/>
  <c r="G17" i="8"/>
  <c r="G17" i="7"/>
  <c r="H17" i="11"/>
  <c r="H17" i="10"/>
  <c r="H17" i="9"/>
  <c r="H17" i="8"/>
  <c r="H17" i="7"/>
  <c r="C18" i="11"/>
  <c r="C18" i="10"/>
  <c r="C18" i="9"/>
  <c r="C18" i="8"/>
  <c r="C18" i="7"/>
  <c r="D18" i="11"/>
  <c r="D18" i="10"/>
  <c r="D18" i="9"/>
  <c r="D18" i="8"/>
  <c r="D18" i="7"/>
  <c r="E18" i="11"/>
  <c r="E18" i="10"/>
  <c r="E18" i="9"/>
  <c r="E18" i="8"/>
  <c r="E18" i="7"/>
  <c r="F18" i="11"/>
  <c r="F18" i="10"/>
  <c r="F18" i="9"/>
  <c r="F18" i="8"/>
  <c r="F18" i="7"/>
  <c r="G18" i="11"/>
  <c r="G18" i="10"/>
  <c r="G18" i="9"/>
  <c r="G18" i="8"/>
  <c r="G18" i="7"/>
  <c r="H18" i="11"/>
  <c r="H18" i="10"/>
  <c r="H18" i="9"/>
  <c r="H18" i="8"/>
  <c r="H18" i="7"/>
  <c r="C19" i="11"/>
  <c r="D36" i="12" s="1"/>
  <c r="J36" i="12" s="1"/>
  <c r="C19" i="10"/>
  <c r="D35" i="12" s="1"/>
  <c r="J35" i="12" s="1"/>
  <c r="C19" i="9"/>
  <c r="D34" i="12" s="1"/>
  <c r="J34" i="12" s="1"/>
  <c r="C19" i="8"/>
  <c r="D33" i="12" s="1"/>
  <c r="J33" i="12" s="1"/>
  <c r="C19" i="7"/>
  <c r="D32" i="12" s="1"/>
  <c r="J32" i="12" s="1"/>
  <c r="D19" i="11"/>
  <c r="E36" i="12" s="1"/>
  <c r="K36" i="12" s="1"/>
  <c r="D19" i="10"/>
  <c r="E35" i="12" s="1"/>
  <c r="K35" i="12" s="1"/>
  <c r="D19" i="9"/>
  <c r="E34" i="12" s="1"/>
  <c r="K34" i="12" s="1"/>
  <c r="D19" i="8"/>
  <c r="E33" i="12" s="1"/>
  <c r="K33" i="12" s="1"/>
  <c r="D19" i="7"/>
  <c r="E32" i="12" s="1"/>
  <c r="K32" i="12" s="1"/>
  <c r="E19" i="11"/>
  <c r="F36" i="12" s="1"/>
  <c r="E19" i="10"/>
  <c r="F35" i="12" s="1"/>
  <c r="E19" i="9"/>
  <c r="F34" i="12" s="1"/>
  <c r="E19" i="8"/>
  <c r="F33" i="12" s="1"/>
  <c r="E19" i="7"/>
  <c r="F32" i="12" s="1"/>
  <c r="F19" i="11"/>
  <c r="G36" i="12" s="1"/>
  <c r="F19" i="10"/>
  <c r="G35" i="12" s="1"/>
  <c r="F19" i="9"/>
  <c r="G34" i="12" s="1"/>
  <c r="F19" i="8"/>
  <c r="G33" i="12" s="1"/>
  <c r="F19" i="7"/>
  <c r="G32" i="12" s="1"/>
  <c r="G19" i="11"/>
  <c r="H36" i="12" s="1"/>
  <c r="G19" i="10"/>
  <c r="H35" i="12" s="1"/>
  <c r="G19" i="9"/>
  <c r="H34" i="12" s="1"/>
  <c r="G19" i="8"/>
  <c r="H33" i="12" s="1"/>
  <c r="G19" i="7"/>
  <c r="H32" i="12" s="1"/>
  <c r="H19" i="11"/>
  <c r="I36" i="12" s="1"/>
  <c r="H19" i="10"/>
  <c r="I35" i="12" s="1"/>
  <c r="H19" i="9"/>
  <c r="I34" i="12" s="1"/>
  <c r="H19" i="8"/>
  <c r="I33" i="12" s="1"/>
  <c r="H19" i="7"/>
  <c r="I32" i="12" s="1"/>
  <c r="C20" i="11"/>
  <c r="C20" i="10"/>
  <c r="C20" i="9"/>
  <c r="C20" i="8"/>
  <c r="C20" i="7"/>
  <c r="D20" i="11"/>
  <c r="D20" i="10"/>
  <c r="D20" i="9"/>
  <c r="D20" i="8"/>
  <c r="D20" i="7"/>
  <c r="E20" i="11"/>
  <c r="E20" i="10"/>
  <c r="E20" i="9"/>
  <c r="E20" i="8"/>
  <c r="E20" i="7"/>
  <c r="F20" i="11"/>
  <c r="F20" i="10"/>
  <c r="F20" i="9"/>
  <c r="F20" i="8"/>
  <c r="F20" i="7"/>
  <c r="G20" i="11"/>
  <c r="G20" i="10"/>
  <c r="G20" i="9"/>
  <c r="G20" i="8"/>
  <c r="G20" i="7"/>
  <c r="H20" i="11"/>
  <c r="H20" i="10"/>
  <c r="H20" i="9"/>
  <c r="H20" i="8"/>
  <c r="H20" i="7"/>
  <c r="C21" i="11"/>
  <c r="C21" i="10"/>
  <c r="C21" i="9"/>
  <c r="C21" i="8"/>
  <c r="C21" i="7"/>
  <c r="D21" i="11"/>
  <c r="D21" i="10"/>
  <c r="D21" i="9"/>
  <c r="D21" i="8"/>
  <c r="D21" i="7"/>
  <c r="E21" i="11"/>
  <c r="E21" i="10"/>
  <c r="E21" i="9"/>
  <c r="E21" i="8"/>
  <c r="E21" i="7"/>
  <c r="F21" i="11"/>
  <c r="F21" i="10"/>
  <c r="F21" i="9"/>
  <c r="F21" i="8"/>
  <c r="F21" i="7"/>
  <c r="G21" i="11"/>
  <c r="G21" i="10"/>
  <c r="G21" i="9"/>
  <c r="G21" i="8"/>
  <c r="G21" i="7"/>
  <c r="H21" i="11"/>
  <c r="H21" i="10"/>
  <c r="H21" i="9"/>
  <c r="H21" i="8"/>
  <c r="H21" i="7"/>
  <c r="C22" i="11"/>
  <c r="C22" i="10"/>
  <c r="C22" i="9"/>
  <c r="C22" i="8"/>
  <c r="C22" i="7"/>
  <c r="D22" i="11"/>
  <c r="D22" i="10"/>
  <c r="D22" i="9"/>
  <c r="D22" i="8"/>
  <c r="D22" i="7"/>
  <c r="E22" i="11"/>
  <c r="E22" i="10"/>
  <c r="E22" i="9"/>
  <c r="E22" i="8"/>
  <c r="E22" i="7"/>
  <c r="F22" i="11"/>
  <c r="F22" i="10"/>
  <c r="F22" i="9"/>
  <c r="F22" i="8"/>
  <c r="F22" i="7"/>
  <c r="G22" i="11"/>
  <c r="G22" i="10"/>
  <c r="G22" i="9"/>
  <c r="G22" i="8"/>
  <c r="G22" i="7"/>
  <c r="H22" i="11"/>
  <c r="H22" i="10"/>
  <c r="H22" i="9"/>
  <c r="H22" i="8"/>
  <c r="H22" i="7"/>
  <c r="C23" i="11"/>
  <c r="C23" i="10"/>
  <c r="C23" i="9"/>
  <c r="C23" i="8"/>
  <c r="C23" i="7"/>
  <c r="D23" i="11"/>
  <c r="D23" i="10"/>
  <c r="D23" i="9"/>
  <c r="D23" i="8"/>
  <c r="D23" i="7"/>
  <c r="E23" i="11"/>
  <c r="E23" i="10"/>
  <c r="E23" i="9"/>
  <c r="E23" i="8"/>
  <c r="E23" i="7"/>
  <c r="F23" i="11"/>
  <c r="F23" i="10"/>
  <c r="F23" i="9"/>
  <c r="F23" i="8"/>
  <c r="F23" i="7"/>
  <c r="G23" i="11"/>
  <c r="G23" i="10"/>
  <c r="G23" i="9"/>
  <c r="G23" i="8"/>
  <c r="G23" i="7"/>
  <c r="H23" i="11"/>
  <c r="H23" i="10"/>
  <c r="H23" i="9"/>
  <c r="H23" i="8"/>
  <c r="H23" i="7"/>
  <c r="C24" i="11"/>
  <c r="C24" i="10"/>
  <c r="C24" i="9"/>
  <c r="C24" i="8"/>
  <c r="C24" i="7"/>
  <c r="D24" i="11"/>
  <c r="D24" i="10"/>
  <c r="D24" i="9"/>
  <c r="D24" i="8"/>
  <c r="D24" i="7"/>
  <c r="E24" i="11"/>
  <c r="E24" i="10"/>
  <c r="E24" i="9"/>
  <c r="E24" i="8"/>
  <c r="E24" i="7"/>
  <c r="F24" i="11"/>
  <c r="F24" i="10"/>
  <c r="F24" i="9"/>
  <c r="F24" i="8"/>
  <c r="F24" i="7"/>
  <c r="G24" i="11"/>
  <c r="G24" i="10"/>
  <c r="G24" i="9"/>
  <c r="G24" i="8"/>
  <c r="G24" i="7"/>
  <c r="H24" i="11"/>
  <c r="H24" i="10"/>
  <c r="H24" i="9"/>
  <c r="H24" i="8"/>
  <c r="H24" i="7"/>
  <c r="C25" i="11"/>
  <c r="C25" i="10"/>
  <c r="C25" i="9"/>
  <c r="C25" i="8"/>
  <c r="C25" i="7"/>
  <c r="D25" i="11"/>
  <c r="D25" i="10"/>
  <c r="D25" i="9"/>
  <c r="D25" i="8"/>
  <c r="D25" i="7"/>
  <c r="E25" i="11"/>
  <c r="E25" i="10"/>
  <c r="E25" i="9"/>
  <c r="E25" i="8"/>
  <c r="E25" i="7"/>
  <c r="F25" i="11"/>
  <c r="F25" i="10"/>
  <c r="F25" i="9"/>
  <c r="F25" i="8"/>
  <c r="F25" i="7"/>
  <c r="G25" i="11"/>
  <c r="G25" i="10"/>
  <c r="G25" i="9"/>
  <c r="G25" i="8"/>
  <c r="G25" i="7"/>
  <c r="H25" i="11"/>
  <c r="H25" i="10"/>
  <c r="H25" i="9"/>
  <c r="H25" i="8"/>
  <c r="H25" i="7"/>
  <c r="C26" i="11"/>
  <c r="C26" i="10"/>
  <c r="C26" i="9"/>
  <c r="C26" i="8"/>
  <c r="C26" i="7"/>
  <c r="D26" i="11"/>
  <c r="D26" i="10"/>
  <c r="D26" i="9"/>
  <c r="D26" i="8"/>
  <c r="D26" i="7"/>
  <c r="E26" i="11"/>
  <c r="E26" i="10"/>
  <c r="E26" i="9"/>
  <c r="E26" i="8"/>
  <c r="E26" i="7"/>
  <c r="F26" i="11"/>
  <c r="F26" i="10"/>
  <c r="F26" i="9"/>
  <c r="F26" i="8"/>
  <c r="F26" i="7"/>
  <c r="G26" i="11"/>
  <c r="G26" i="10"/>
  <c r="G26" i="9"/>
  <c r="G26" i="8"/>
  <c r="G26" i="7"/>
  <c r="H26" i="11"/>
  <c r="H26" i="10"/>
  <c r="H26" i="9"/>
  <c r="H26" i="8"/>
  <c r="H26" i="7"/>
  <c r="C27" i="11"/>
  <c r="C27" i="10"/>
  <c r="C27" i="9"/>
  <c r="C27" i="8"/>
  <c r="C27" i="7"/>
  <c r="D27" i="11"/>
  <c r="D27" i="10"/>
  <c r="D27" i="9"/>
  <c r="D27" i="8"/>
  <c r="D27" i="7"/>
  <c r="E27" i="11"/>
  <c r="E27" i="10"/>
  <c r="E27" i="9"/>
  <c r="E27" i="8"/>
  <c r="E27" i="7"/>
  <c r="F27" i="11"/>
  <c r="F27" i="10"/>
  <c r="F27" i="9"/>
  <c r="F27" i="8"/>
  <c r="F27" i="7"/>
  <c r="G27" i="11"/>
  <c r="G27" i="10"/>
  <c r="G27" i="9"/>
  <c r="G27" i="8"/>
  <c r="G27" i="7"/>
  <c r="H27" i="11"/>
  <c r="H27" i="10"/>
  <c r="H27" i="9"/>
  <c r="H27" i="8"/>
  <c r="H27" i="7"/>
  <c r="C28" i="11"/>
  <c r="C28" i="10"/>
  <c r="C28" i="9"/>
  <c r="C28" i="8"/>
  <c r="C28" i="7"/>
  <c r="D28" i="11"/>
  <c r="D28" i="10"/>
  <c r="D28" i="9"/>
  <c r="D28" i="8"/>
  <c r="D28" i="7"/>
  <c r="E28" i="11"/>
  <c r="E28" i="10"/>
  <c r="E28" i="9"/>
  <c r="E28" i="8"/>
  <c r="E28" i="7"/>
  <c r="F28" i="11"/>
  <c r="F28" i="10"/>
  <c r="F28" i="9"/>
  <c r="F28" i="8"/>
  <c r="F28" i="7"/>
  <c r="G28" i="11"/>
  <c r="G28" i="10"/>
  <c r="G28" i="9"/>
  <c r="G28" i="8"/>
  <c r="G28" i="7"/>
  <c r="H28" i="11"/>
  <c r="H28" i="10"/>
  <c r="H28" i="9"/>
  <c r="H28" i="8"/>
  <c r="H28" i="7"/>
  <c r="E16" i="13" l="1"/>
  <c r="D16" i="13" s="1"/>
  <c r="E15" i="13"/>
  <c r="D15" i="13" s="1"/>
  <c r="H16" i="13"/>
  <c r="G16" i="13" s="1"/>
  <c r="H15" i="13"/>
  <c r="G15" i="13" s="1"/>
  <c r="F16" i="13"/>
  <c r="F15" i="13"/>
  <c r="I16" i="13"/>
  <c r="I15" i="13"/>
  <c r="E14" i="13"/>
  <c r="D14" i="13" s="1"/>
  <c r="E13" i="13"/>
  <c r="D13" i="13" s="1"/>
  <c r="H14" i="13"/>
  <c r="G14" i="13" s="1"/>
  <c r="H13" i="13"/>
  <c r="G13" i="13" s="1"/>
  <c r="F14" i="13"/>
  <c r="F13" i="13"/>
  <c r="I14" i="13"/>
  <c r="I13" i="13"/>
  <c r="E12" i="13"/>
  <c r="D12" i="13" s="1"/>
  <c r="E11" i="13"/>
  <c r="D11" i="13" s="1"/>
  <c r="H12" i="13"/>
  <c r="G12" i="13" s="1"/>
  <c r="H11" i="13"/>
  <c r="G11" i="13" s="1"/>
  <c r="F12" i="13"/>
  <c r="F11" i="13"/>
  <c r="I12" i="13"/>
  <c r="I11" i="13"/>
  <c r="E10" i="13"/>
  <c r="D10" i="13" s="1"/>
  <c r="E9" i="13"/>
  <c r="D9" i="13" s="1"/>
  <c r="H10" i="13"/>
  <c r="G10" i="13" s="1"/>
  <c r="H9" i="13"/>
  <c r="G9" i="13" s="1"/>
  <c r="F10" i="13"/>
  <c r="F9" i="13"/>
  <c r="I10" i="13"/>
  <c r="I9" i="13"/>
  <c r="E8" i="13"/>
  <c r="D8" i="13" s="1"/>
  <c r="E7" i="13"/>
  <c r="D7" i="13" s="1"/>
  <c r="H8" i="13"/>
  <c r="G8" i="13" s="1"/>
  <c r="H7" i="13"/>
  <c r="G7" i="13" s="1"/>
  <c r="F8" i="13"/>
  <c r="F7" i="13"/>
  <c r="I8" i="13"/>
  <c r="I7" i="13"/>
  <c r="E6" i="13"/>
  <c r="D6" i="13" s="1"/>
  <c r="E5" i="13"/>
  <c r="D5" i="13" s="1"/>
  <c r="H6" i="13"/>
  <c r="G6" i="13" s="1"/>
  <c r="H5" i="13"/>
  <c r="G5" i="13" s="1"/>
  <c r="F6" i="13"/>
  <c r="F5" i="13"/>
  <c r="I6" i="13"/>
  <c r="I5" i="13"/>
  <c r="E4" i="13"/>
  <c r="D4" i="13" s="1"/>
  <c r="E3" i="13"/>
  <c r="D3" i="13" s="1"/>
  <c r="H4" i="13"/>
  <c r="G4" i="13" s="1"/>
  <c r="H3" i="13"/>
  <c r="G3" i="13" s="1"/>
  <c r="F4" i="13"/>
  <c r="F3" i="13"/>
  <c r="I4" i="13"/>
  <c r="I3" i="13"/>
</calcChain>
</file>

<file path=xl/sharedStrings.xml><?xml version="1.0" encoding="utf-8"?>
<sst xmlns="http://schemas.openxmlformats.org/spreadsheetml/2006/main" count="813" uniqueCount="53">
  <si>
    <t>Frame</t>
  </si>
  <si>
    <t>Station</t>
  </si>
  <si>
    <t>OutputCase</t>
  </si>
  <si>
    <t>CaseType</t>
  </si>
  <si>
    <t>P</t>
  </si>
  <si>
    <t>V2</t>
  </si>
  <si>
    <t>V3</t>
  </si>
  <si>
    <t>T</t>
  </si>
  <si>
    <t>M2</t>
  </si>
  <si>
    <t>M3</t>
  </si>
  <si>
    <t>FrameElem</t>
  </si>
  <si>
    <t>ElemStation</t>
  </si>
  <si>
    <t>1</t>
  </si>
  <si>
    <t>EX</t>
  </si>
  <si>
    <t>LinStatic</t>
  </si>
  <si>
    <t>1-1</t>
  </si>
  <si>
    <t>G-1</t>
  </si>
  <si>
    <t>G-2</t>
  </si>
  <si>
    <t>Q-1</t>
  </si>
  <si>
    <t>Q-2</t>
  </si>
  <si>
    <t>2</t>
  </si>
  <si>
    <t>2-1</t>
  </si>
  <si>
    <t>3</t>
  </si>
  <si>
    <t>3-1</t>
  </si>
  <si>
    <t>4</t>
  </si>
  <si>
    <t>4-1</t>
  </si>
  <si>
    <t>5</t>
  </si>
  <si>
    <t>5-1</t>
  </si>
  <si>
    <t>Αρ. Μέλους</t>
  </si>
  <si>
    <t>Διατομή</t>
  </si>
  <si>
    <t>Συνδυασμός</t>
  </si>
  <si>
    <t>H=0 (A)</t>
  </si>
  <si>
    <t>Δ-Δ</t>
  </si>
  <si>
    <t>Δ-Ε</t>
  </si>
  <si>
    <t>Ε-Δ</t>
  </si>
  <si>
    <t>EQ+</t>
  </si>
  <si>
    <t>EQ-</t>
  </si>
  <si>
    <t>H=6.5 (B2)</t>
  </si>
  <si>
    <t>H=0 (D)</t>
  </si>
  <si>
    <t>H=6.5 (C2)</t>
  </si>
  <si>
    <t>L/2</t>
  </si>
  <si>
    <t>L</t>
  </si>
  <si>
    <t>min/max</t>
  </si>
  <si>
    <t>Ο.Κ.Α. χωρίς σεισμό</t>
  </si>
  <si>
    <t>Ο.Κ.Α. με σεισμό</t>
  </si>
  <si>
    <t>AEM</t>
  </si>
  <si>
    <t>Ταυτόχρονη N</t>
  </si>
  <si>
    <t>Ακραία Μ</t>
  </si>
  <si>
    <t>Ακραία V</t>
  </si>
  <si>
    <t>κ</t>
  </si>
  <si>
    <t>min</t>
  </si>
  <si>
    <t>λ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</si>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</sst>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BFBFBF"/>
      <name val="Calibri"/>
    </font>
    <font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DADADA"/>
        <bgColor rgb="FFDADADA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2" fontId="1" fillId="2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2" fontId="3" fillId="0" borderId="0" xfId="0" applyNumberFormat="1" applyFont="1"/>
    <xf numFmtId="2" fontId="2" fillId="0" borderId="0" xfId="0" applyNumberFormat="1" applyFont="1"/>
    <xf numFmtId="0" fontId="3" fillId="0" borderId="0" xfId="0" applyFont="1"/>
    <xf numFmtId="0" fontId="4" fillId="0" borderId="0" xfId="0" applyFont="1"/>
    <xf numFmtId="0" fontId="2" fillId="10" borderId="7" xfId="0" applyFont="1" applyFill="1" applyBorder="1"/>
    <xf numFmtId="0" fontId="2" fillId="11" borderId="7" xfId="0" applyFont="1" applyFill="1" applyBorder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/>
    <xf numFmtId="0" fontId="2" fillId="3" borderId="2" xfId="0" applyFont="1" applyFill="1" applyBorder="1"/>
    <xf numFmtId="2" fontId="2" fillId="3" borderId="2" xfId="0" applyNumberFormat="1" applyFont="1" applyFill="1" applyBorder="1"/>
    <xf numFmtId="0" fontId="2" fillId="4" borderId="2" xfId="0" applyFont="1" applyFill="1" applyBorder="1"/>
    <xf numFmtId="2" fontId="2" fillId="4" borderId="2" xfId="0" applyNumberFormat="1" applyFont="1" applyFill="1" applyBorder="1"/>
    <xf numFmtId="0" fontId="2" fillId="5" borderId="2" xfId="0" applyFont="1" applyFill="1" applyBorder="1"/>
    <xf numFmtId="2" fontId="2" fillId="5" borderId="2" xfId="0" applyNumberFormat="1" applyFont="1" applyFill="1" applyBorder="1"/>
    <xf numFmtId="0" fontId="2" fillId="6" borderId="2" xfId="0" applyFont="1" applyFill="1" applyBorder="1"/>
    <xf numFmtId="2" fontId="2" fillId="6" borderId="2" xfId="0" applyNumberFormat="1" applyFont="1" applyFill="1" applyBorder="1"/>
    <xf numFmtId="0" fontId="2" fillId="7" borderId="2" xfId="0" applyFont="1" applyFill="1" applyBorder="1"/>
    <xf numFmtId="2" fontId="2" fillId="7" borderId="2" xfId="0" applyNumberFormat="1" applyFont="1" applyFill="1" applyBorder="1"/>
    <xf numFmtId="0" fontId="2" fillId="8" borderId="2" xfId="0" applyFont="1" applyFill="1" applyBorder="1"/>
    <xf numFmtId="2" fontId="2" fillId="8" borderId="2" xfId="0" applyNumberFormat="1" applyFont="1" applyFill="1" applyBorder="1"/>
    <xf numFmtId="2" fontId="4" fillId="8" borderId="2" xfId="0" applyNumberFormat="1" applyFont="1" applyFill="1" applyBorder="1"/>
    <xf numFmtId="2" fontId="4" fillId="3" borderId="2" xfId="0" applyNumberFormat="1" applyFont="1" applyFill="1" applyBorder="1"/>
    <xf numFmtId="2" fontId="4" fillId="7" borderId="2" xfId="0" applyNumberFormat="1" applyFont="1" applyFill="1" applyBorder="1"/>
    <xf numFmtId="2" fontId="4" fillId="6" borderId="2" xfId="0" applyNumberFormat="1" applyFont="1" applyFill="1" applyBorder="1"/>
    <xf numFmtId="0" fontId="2" fillId="9" borderId="2" xfId="0" applyFont="1" applyFill="1" applyBorder="1"/>
    <xf numFmtId="2" fontId="2" fillId="9" borderId="2" xfId="0" applyNumberFormat="1" applyFont="1" applyFill="1" applyBorder="1"/>
    <xf numFmtId="2" fontId="4" fillId="9" borderId="2" xfId="0" applyNumberFormat="1" applyFont="1" applyFill="1" applyBorder="1"/>
    <xf numFmtId="0" fontId="2" fillId="7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0" fillId="0" borderId="0" xfId="0" applyAlignment="1"/>
    <xf numFmtId="0" fontId="5" fillId="0" borderId="2" xfId="0" applyFont="1" applyBorder="1" applyAlignment="1"/>
    <xf numFmtId="0" fontId="5" fillId="0" borderId="5" xfId="0" applyFont="1" applyBorder="1" applyAlignment="1"/>
    <xf numFmtId="0" fontId="5" fillId="0" borderId="6" xfId="0" applyFont="1" applyBorder="1" applyAlignment="1"/>
    <xf numFmtId="0" fontId="5" fillId="0" borderId="8" xfId="0" applyFont="1" applyBorder="1" applyAlignment="1"/>
    <xf numFmtId="0" fontId="5" fillId="0" borderId="9" xfId="0" applyFont="1" applyBorder="1" applyAlignme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L1000"/>
  <sheetViews>
    <sheetView workbookViewId="0">
      <pane ySplit="1" topLeftCell="B121" activePane="bottomLeft" state="frozen"/>
      <selection pane="bottomLeft" activeCell="B3" sqref="B3"/>
    </sheetView>
  </sheetViews>
  <sheetFormatPr defaultColWidth="14.42578125" defaultRowHeight="15" customHeight="1"/>
  <cols>
    <col min="1" max="2" width="9.140625" customWidth="1"/>
    <col min="3" max="3" width="11.42578125" customWidth="1"/>
    <col min="4" max="4" width="9.42578125" customWidth="1"/>
    <col min="5" max="5" width="10.7109375" customWidth="1"/>
    <col min="6" max="9" width="9.140625" customWidth="1"/>
    <col min="10" max="10" width="9.7109375" customWidth="1"/>
    <col min="11" max="11" width="11" customWidth="1"/>
    <col min="12" max="12" width="11.7109375" customWidth="1"/>
    <col min="13" max="26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0</v>
      </c>
      <c r="C2" s="2" t="s">
        <v>13</v>
      </c>
      <c r="D2" s="2" t="s">
        <v>14</v>
      </c>
      <c r="E2" s="3">
        <v>18.693999999999999</v>
      </c>
      <c r="F2" s="3">
        <v>40.723999999999997</v>
      </c>
      <c r="G2" s="3">
        <v>0</v>
      </c>
      <c r="H2" s="3">
        <v>0</v>
      </c>
      <c r="I2" s="3">
        <v>0</v>
      </c>
      <c r="J2" s="3">
        <v>125.8599</v>
      </c>
      <c r="K2" s="2" t="s">
        <v>15</v>
      </c>
      <c r="L2" s="3">
        <v>0</v>
      </c>
    </row>
    <row r="3" spans="1:12">
      <c r="A3" s="2" t="s">
        <v>12</v>
      </c>
      <c r="B3" s="3">
        <v>2.6</v>
      </c>
      <c r="C3" s="2" t="s">
        <v>13</v>
      </c>
      <c r="D3" s="2" t="s">
        <v>14</v>
      </c>
      <c r="E3" s="3">
        <v>18.693999999999999</v>
      </c>
      <c r="F3" s="3">
        <v>40.723999999999997</v>
      </c>
      <c r="G3" s="3">
        <v>0</v>
      </c>
      <c r="H3" s="3">
        <v>0</v>
      </c>
      <c r="I3" s="3">
        <v>0</v>
      </c>
      <c r="J3" s="3">
        <v>19.977599999999999</v>
      </c>
      <c r="K3" s="2" t="s">
        <v>15</v>
      </c>
      <c r="L3" s="3">
        <v>2.6</v>
      </c>
    </row>
    <row r="4" spans="1:12">
      <c r="A4" s="2" t="s">
        <v>12</v>
      </c>
      <c r="B4" s="3">
        <v>5.2</v>
      </c>
      <c r="C4" s="2" t="s">
        <v>13</v>
      </c>
      <c r="D4" s="2" t="s">
        <v>14</v>
      </c>
      <c r="E4" s="3">
        <v>18.693999999999999</v>
      </c>
      <c r="F4" s="3">
        <v>40.723999999999997</v>
      </c>
      <c r="G4" s="3">
        <v>0</v>
      </c>
      <c r="H4" s="3">
        <v>0</v>
      </c>
      <c r="I4" s="3">
        <v>0</v>
      </c>
      <c r="J4" s="3">
        <v>-85.904799999999994</v>
      </c>
      <c r="K4" s="2" t="s">
        <v>15</v>
      </c>
      <c r="L4" s="3">
        <v>5.2</v>
      </c>
    </row>
    <row r="5" spans="1:12">
      <c r="A5" s="2" t="s">
        <v>12</v>
      </c>
      <c r="B5" s="3">
        <v>0</v>
      </c>
      <c r="C5" s="2" t="s">
        <v>16</v>
      </c>
      <c r="D5" s="2" t="s">
        <v>14</v>
      </c>
      <c r="E5" s="3">
        <v>-152.78200000000001</v>
      </c>
      <c r="F5" s="3">
        <v>-33.564999999999998</v>
      </c>
      <c r="G5" s="3">
        <v>0</v>
      </c>
      <c r="H5" s="3">
        <v>0</v>
      </c>
      <c r="I5" s="3">
        <v>0</v>
      </c>
      <c r="J5" s="3">
        <v>-49.655099999999997</v>
      </c>
      <c r="K5" s="2" t="s">
        <v>15</v>
      </c>
      <c r="L5" s="3">
        <v>0</v>
      </c>
    </row>
    <row r="6" spans="1:12">
      <c r="A6" s="2" t="s">
        <v>12</v>
      </c>
      <c r="B6" s="3">
        <v>2.6</v>
      </c>
      <c r="C6" s="2" t="s">
        <v>16</v>
      </c>
      <c r="D6" s="2" t="s">
        <v>14</v>
      </c>
      <c r="E6" s="3">
        <v>-152.78200000000001</v>
      </c>
      <c r="F6" s="3">
        <v>-33.564999999999998</v>
      </c>
      <c r="G6" s="3">
        <v>0</v>
      </c>
      <c r="H6" s="3">
        <v>0</v>
      </c>
      <c r="I6" s="3">
        <v>0</v>
      </c>
      <c r="J6" s="3">
        <v>37.613599999999998</v>
      </c>
      <c r="K6" s="2" t="s">
        <v>15</v>
      </c>
      <c r="L6" s="3">
        <v>2.6</v>
      </c>
    </row>
    <row r="7" spans="1:12">
      <c r="A7" s="2" t="s">
        <v>12</v>
      </c>
      <c r="B7" s="3">
        <v>5.2</v>
      </c>
      <c r="C7" s="2" t="s">
        <v>16</v>
      </c>
      <c r="D7" s="2" t="s">
        <v>14</v>
      </c>
      <c r="E7" s="3">
        <v>-152.78200000000001</v>
      </c>
      <c r="F7" s="3">
        <v>-33.564999999999998</v>
      </c>
      <c r="G7" s="3">
        <v>0</v>
      </c>
      <c r="H7" s="3">
        <v>0</v>
      </c>
      <c r="I7" s="3">
        <v>0</v>
      </c>
      <c r="J7" s="3">
        <v>124.8822</v>
      </c>
      <c r="K7" s="2" t="s">
        <v>15</v>
      </c>
      <c r="L7" s="3">
        <v>5.2</v>
      </c>
    </row>
    <row r="8" spans="1:12">
      <c r="A8" s="2" t="s">
        <v>12</v>
      </c>
      <c r="B8" s="3">
        <v>0</v>
      </c>
      <c r="C8" s="2" t="s">
        <v>17</v>
      </c>
      <c r="D8" s="2" t="s">
        <v>14</v>
      </c>
      <c r="E8" s="3">
        <v>10.212999999999999</v>
      </c>
      <c r="F8" s="3">
        <v>1.0249999999999999</v>
      </c>
      <c r="G8" s="3">
        <v>0</v>
      </c>
      <c r="H8" s="3">
        <v>0</v>
      </c>
      <c r="I8" s="3">
        <v>0</v>
      </c>
      <c r="J8" s="3">
        <v>-4.8253000000000004</v>
      </c>
      <c r="K8" s="2" t="s">
        <v>15</v>
      </c>
      <c r="L8" s="3">
        <v>0</v>
      </c>
    </row>
    <row r="9" spans="1:12">
      <c r="A9" s="2" t="s">
        <v>12</v>
      </c>
      <c r="B9" s="3">
        <v>2.6</v>
      </c>
      <c r="C9" s="2" t="s">
        <v>17</v>
      </c>
      <c r="D9" s="2" t="s">
        <v>14</v>
      </c>
      <c r="E9" s="3">
        <v>10.212999999999999</v>
      </c>
      <c r="F9" s="3">
        <v>1.0249999999999999</v>
      </c>
      <c r="G9" s="3">
        <v>0</v>
      </c>
      <c r="H9" s="3">
        <v>0</v>
      </c>
      <c r="I9" s="3">
        <v>0</v>
      </c>
      <c r="J9" s="3">
        <v>-7.4897999999999998</v>
      </c>
      <c r="K9" s="2" t="s">
        <v>15</v>
      </c>
      <c r="L9" s="3">
        <v>2.6</v>
      </c>
    </row>
    <row r="10" spans="1:12">
      <c r="A10" s="2" t="s">
        <v>12</v>
      </c>
      <c r="B10" s="3">
        <v>5.2</v>
      </c>
      <c r="C10" s="2" t="s">
        <v>17</v>
      </c>
      <c r="D10" s="2" t="s">
        <v>14</v>
      </c>
      <c r="E10" s="3">
        <v>10.212999999999999</v>
      </c>
      <c r="F10" s="3">
        <v>1.0249999999999999</v>
      </c>
      <c r="G10" s="3">
        <v>0</v>
      </c>
      <c r="H10" s="3">
        <v>0</v>
      </c>
      <c r="I10" s="3">
        <v>0</v>
      </c>
      <c r="J10" s="3">
        <v>-10.154299999999999</v>
      </c>
      <c r="K10" s="2" t="s">
        <v>15</v>
      </c>
      <c r="L10" s="3">
        <v>5.2</v>
      </c>
    </row>
    <row r="11" spans="1:12">
      <c r="A11" s="2" t="s">
        <v>12</v>
      </c>
      <c r="B11" s="3">
        <v>0</v>
      </c>
      <c r="C11" s="2" t="s">
        <v>18</v>
      </c>
      <c r="D11" s="2" t="s">
        <v>14</v>
      </c>
      <c r="E11" s="3">
        <v>-77.08</v>
      </c>
      <c r="F11" s="3">
        <v>-16.934000000000001</v>
      </c>
      <c r="G11" s="3">
        <v>0</v>
      </c>
      <c r="H11" s="3">
        <v>0</v>
      </c>
      <c r="I11" s="3">
        <v>0</v>
      </c>
      <c r="J11" s="3">
        <v>-25.051600000000001</v>
      </c>
      <c r="K11" s="2" t="s">
        <v>15</v>
      </c>
      <c r="L11" s="3">
        <v>0</v>
      </c>
    </row>
    <row r="12" spans="1:12">
      <c r="A12" s="2" t="s">
        <v>12</v>
      </c>
      <c r="B12" s="3">
        <v>2.6</v>
      </c>
      <c r="C12" s="2" t="s">
        <v>18</v>
      </c>
      <c r="D12" s="2" t="s">
        <v>14</v>
      </c>
      <c r="E12" s="3">
        <v>-77.08</v>
      </c>
      <c r="F12" s="3">
        <v>-16.934000000000001</v>
      </c>
      <c r="G12" s="3">
        <v>0</v>
      </c>
      <c r="H12" s="3">
        <v>0</v>
      </c>
      <c r="I12" s="3">
        <v>0</v>
      </c>
      <c r="J12" s="3">
        <v>18.976500000000001</v>
      </c>
      <c r="K12" s="2" t="s">
        <v>15</v>
      </c>
      <c r="L12" s="3">
        <v>2.6</v>
      </c>
    </row>
    <row r="13" spans="1:12">
      <c r="A13" s="2" t="s">
        <v>12</v>
      </c>
      <c r="B13" s="3">
        <v>5.2</v>
      </c>
      <c r="C13" s="2" t="s">
        <v>18</v>
      </c>
      <c r="D13" s="2" t="s">
        <v>14</v>
      </c>
      <c r="E13" s="3">
        <v>-77.08</v>
      </c>
      <c r="F13" s="3">
        <v>-16.934000000000001</v>
      </c>
      <c r="G13" s="3">
        <v>0</v>
      </c>
      <c r="H13" s="3">
        <v>0</v>
      </c>
      <c r="I13" s="3">
        <v>0</v>
      </c>
      <c r="J13" s="3">
        <v>63.004600000000003</v>
      </c>
      <c r="K13" s="2" t="s">
        <v>15</v>
      </c>
      <c r="L13" s="3">
        <v>5.2</v>
      </c>
    </row>
    <row r="14" spans="1:12">
      <c r="A14" s="2" t="s">
        <v>12</v>
      </c>
      <c r="B14" s="3">
        <v>0</v>
      </c>
      <c r="C14" s="2" t="s">
        <v>19</v>
      </c>
      <c r="D14" s="2" t="s">
        <v>14</v>
      </c>
      <c r="E14" s="3">
        <v>5.1529999999999996</v>
      </c>
      <c r="F14" s="3">
        <v>0.51700000000000002</v>
      </c>
      <c r="G14" s="3">
        <v>0</v>
      </c>
      <c r="H14" s="3">
        <v>0</v>
      </c>
      <c r="I14" s="3">
        <v>0</v>
      </c>
      <c r="J14" s="3">
        <v>-2.4344000000000001</v>
      </c>
      <c r="K14" s="2" t="s">
        <v>15</v>
      </c>
      <c r="L14" s="3">
        <v>0</v>
      </c>
    </row>
    <row r="15" spans="1:12">
      <c r="A15" s="2" t="s">
        <v>12</v>
      </c>
      <c r="B15" s="3">
        <v>2.6</v>
      </c>
      <c r="C15" s="2" t="s">
        <v>19</v>
      </c>
      <c r="D15" s="2" t="s">
        <v>14</v>
      </c>
      <c r="E15" s="3">
        <v>5.1529999999999996</v>
      </c>
      <c r="F15" s="3">
        <v>0.51700000000000002</v>
      </c>
      <c r="G15" s="3">
        <v>0</v>
      </c>
      <c r="H15" s="3">
        <v>0</v>
      </c>
      <c r="I15" s="3">
        <v>0</v>
      </c>
      <c r="J15" s="3">
        <v>-3.7787000000000002</v>
      </c>
      <c r="K15" s="2" t="s">
        <v>15</v>
      </c>
      <c r="L15" s="3">
        <v>2.6</v>
      </c>
    </row>
    <row r="16" spans="1:12">
      <c r="A16" s="2" t="s">
        <v>12</v>
      </c>
      <c r="B16" s="3">
        <v>5.2</v>
      </c>
      <c r="C16" s="2" t="s">
        <v>19</v>
      </c>
      <c r="D16" s="2" t="s">
        <v>14</v>
      </c>
      <c r="E16" s="3">
        <v>5.1529999999999996</v>
      </c>
      <c r="F16" s="3">
        <v>0.51700000000000002</v>
      </c>
      <c r="G16" s="3">
        <v>0</v>
      </c>
      <c r="H16" s="3">
        <v>0</v>
      </c>
      <c r="I16" s="3">
        <v>0</v>
      </c>
      <c r="J16" s="3">
        <v>-5.1230000000000002</v>
      </c>
      <c r="K16" s="2" t="s">
        <v>15</v>
      </c>
      <c r="L16" s="3">
        <v>5.2</v>
      </c>
    </row>
    <row r="17" spans="1:12">
      <c r="A17" s="2" t="s">
        <v>20</v>
      </c>
      <c r="B17" s="3">
        <v>0</v>
      </c>
      <c r="C17" s="2" t="s">
        <v>13</v>
      </c>
      <c r="D17" s="2" t="s">
        <v>14</v>
      </c>
      <c r="E17" s="3">
        <v>6.5729999999999995E-16</v>
      </c>
      <c r="F17" s="3">
        <v>52.991999999999997</v>
      </c>
      <c r="G17" s="3">
        <v>0</v>
      </c>
      <c r="H17" s="3">
        <v>0</v>
      </c>
      <c r="I17" s="3">
        <v>0</v>
      </c>
      <c r="J17" s="3">
        <v>146.3998</v>
      </c>
      <c r="K17" s="2" t="s">
        <v>21</v>
      </c>
      <c r="L17" s="3">
        <v>0</v>
      </c>
    </row>
    <row r="18" spans="1:12">
      <c r="A18" s="2" t="s">
        <v>20</v>
      </c>
      <c r="B18" s="3">
        <v>2.6</v>
      </c>
      <c r="C18" s="2" t="s">
        <v>13</v>
      </c>
      <c r="D18" s="2" t="s">
        <v>14</v>
      </c>
      <c r="E18" s="3">
        <v>6.5729999999999995E-16</v>
      </c>
      <c r="F18" s="3">
        <v>52.991999999999997</v>
      </c>
      <c r="G18" s="3">
        <v>0</v>
      </c>
      <c r="H18" s="3">
        <v>0</v>
      </c>
      <c r="I18" s="3">
        <v>0</v>
      </c>
      <c r="J18" s="3">
        <v>8.6204999999999998</v>
      </c>
      <c r="K18" s="2" t="s">
        <v>21</v>
      </c>
      <c r="L18" s="3">
        <v>2.6</v>
      </c>
    </row>
    <row r="19" spans="1:12">
      <c r="A19" s="2" t="s">
        <v>20</v>
      </c>
      <c r="B19" s="3">
        <v>5.2</v>
      </c>
      <c r="C19" s="2" t="s">
        <v>13</v>
      </c>
      <c r="D19" s="2" t="s">
        <v>14</v>
      </c>
      <c r="E19" s="3">
        <v>6.5729999999999995E-16</v>
      </c>
      <c r="F19" s="3">
        <v>52.991999999999997</v>
      </c>
      <c r="G19" s="3">
        <v>0</v>
      </c>
      <c r="H19" s="3">
        <v>0</v>
      </c>
      <c r="I19" s="3">
        <v>0</v>
      </c>
      <c r="J19" s="3">
        <v>-129.15889999999999</v>
      </c>
      <c r="K19" s="2" t="s">
        <v>21</v>
      </c>
      <c r="L19" s="3">
        <v>5.2</v>
      </c>
    </row>
    <row r="20" spans="1:12">
      <c r="A20" s="2" t="s">
        <v>20</v>
      </c>
      <c r="B20" s="3">
        <v>0</v>
      </c>
      <c r="C20" s="2" t="s">
        <v>16</v>
      </c>
      <c r="D20" s="2" t="s">
        <v>14</v>
      </c>
      <c r="E20" s="3">
        <v>-178.54599999999999</v>
      </c>
      <c r="F20" s="3">
        <v>34.590000000000003</v>
      </c>
      <c r="G20" s="3">
        <v>0</v>
      </c>
      <c r="H20" s="3">
        <v>0</v>
      </c>
      <c r="I20" s="3">
        <v>0</v>
      </c>
      <c r="J20" s="3">
        <v>64.453100000000006</v>
      </c>
      <c r="K20" s="2" t="s">
        <v>21</v>
      </c>
      <c r="L20" s="3">
        <v>0</v>
      </c>
    </row>
    <row r="21" spans="1:12" ht="15.75" customHeight="1">
      <c r="A21" s="2" t="s">
        <v>20</v>
      </c>
      <c r="B21" s="3">
        <v>2.6</v>
      </c>
      <c r="C21" s="2" t="s">
        <v>16</v>
      </c>
      <c r="D21" s="2" t="s">
        <v>14</v>
      </c>
      <c r="E21" s="3">
        <v>-178.54599999999999</v>
      </c>
      <c r="F21" s="3">
        <v>34.590000000000003</v>
      </c>
      <c r="G21" s="3">
        <v>0</v>
      </c>
      <c r="H21" s="3">
        <v>0</v>
      </c>
      <c r="I21" s="3">
        <v>0</v>
      </c>
      <c r="J21" s="3">
        <v>-25.48</v>
      </c>
      <c r="K21" s="2" t="s">
        <v>21</v>
      </c>
      <c r="L21" s="3">
        <v>2.6</v>
      </c>
    </row>
    <row r="22" spans="1:12" ht="15.75" customHeight="1">
      <c r="A22" s="2" t="s">
        <v>20</v>
      </c>
      <c r="B22" s="3">
        <v>5.2</v>
      </c>
      <c r="C22" s="2" t="s">
        <v>16</v>
      </c>
      <c r="D22" s="2" t="s">
        <v>14</v>
      </c>
      <c r="E22" s="3">
        <v>-178.54599999999999</v>
      </c>
      <c r="F22" s="3">
        <v>34.590000000000003</v>
      </c>
      <c r="G22" s="3">
        <v>0</v>
      </c>
      <c r="H22" s="3">
        <v>0</v>
      </c>
      <c r="I22" s="3">
        <v>0</v>
      </c>
      <c r="J22" s="3">
        <v>-115.4132</v>
      </c>
      <c r="K22" s="2" t="s">
        <v>21</v>
      </c>
      <c r="L22" s="3">
        <v>5.2</v>
      </c>
    </row>
    <row r="23" spans="1:12" ht="15.75" customHeight="1">
      <c r="A23" s="2" t="s">
        <v>20</v>
      </c>
      <c r="B23" s="3">
        <v>0</v>
      </c>
      <c r="C23" s="2" t="s">
        <v>17</v>
      </c>
      <c r="D23" s="2" t="s">
        <v>14</v>
      </c>
      <c r="E23" s="3">
        <v>-178.54599999999999</v>
      </c>
      <c r="F23" s="3">
        <v>-34.590000000000003</v>
      </c>
      <c r="G23" s="3">
        <v>0</v>
      </c>
      <c r="H23" s="3">
        <v>0</v>
      </c>
      <c r="I23" s="3">
        <v>0</v>
      </c>
      <c r="J23" s="3">
        <v>-64.453100000000006</v>
      </c>
      <c r="K23" s="2" t="s">
        <v>21</v>
      </c>
      <c r="L23" s="3">
        <v>0</v>
      </c>
    </row>
    <row r="24" spans="1:12" ht="15.75" customHeight="1">
      <c r="A24" s="2" t="s">
        <v>20</v>
      </c>
      <c r="B24" s="3">
        <v>2.6</v>
      </c>
      <c r="C24" s="2" t="s">
        <v>17</v>
      </c>
      <c r="D24" s="2" t="s">
        <v>14</v>
      </c>
      <c r="E24" s="3">
        <v>-178.54599999999999</v>
      </c>
      <c r="F24" s="3">
        <v>-34.590000000000003</v>
      </c>
      <c r="G24" s="3">
        <v>0</v>
      </c>
      <c r="H24" s="3">
        <v>0</v>
      </c>
      <c r="I24" s="3">
        <v>0</v>
      </c>
      <c r="J24" s="3">
        <v>25.48</v>
      </c>
      <c r="K24" s="2" t="s">
        <v>21</v>
      </c>
      <c r="L24" s="3">
        <v>2.6</v>
      </c>
    </row>
    <row r="25" spans="1:12" ht="15.75" customHeight="1">
      <c r="A25" s="2" t="s">
        <v>20</v>
      </c>
      <c r="B25" s="3">
        <v>5.2</v>
      </c>
      <c r="C25" s="2" t="s">
        <v>17</v>
      </c>
      <c r="D25" s="2" t="s">
        <v>14</v>
      </c>
      <c r="E25" s="3">
        <v>-178.54599999999999</v>
      </c>
      <c r="F25" s="3">
        <v>-34.590000000000003</v>
      </c>
      <c r="G25" s="3">
        <v>0</v>
      </c>
      <c r="H25" s="3">
        <v>0</v>
      </c>
      <c r="I25" s="3">
        <v>0</v>
      </c>
      <c r="J25" s="3">
        <v>115.4132</v>
      </c>
      <c r="K25" s="2" t="s">
        <v>21</v>
      </c>
      <c r="L25" s="3">
        <v>5.2</v>
      </c>
    </row>
    <row r="26" spans="1:12" ht="15.75" customHeight="1">
      <c r="A26" s="2" t="s">
        <v>20</v>
      </c>
      <c r="B26" s="3">
        <v>0</v>
      </c>
      <c r="C26" s="2" t="s">
        <v>18</v>
      </c>
      <c r="D26" s="2" t="s">
        <v>14</v>
      </c>
      <c r="E26" s="3">
        <v>-90.078999999999994</v>
      </c>
      <c r="F26" s="3">
        <v>17.451000000000001</v>
      </c>
      <c r="G26" s="3">
        <v>0</v>
      </c>
      <c r="H26" s="3">
        <v>0</v>
      </c>
      <c r="I26" s="3">
        <v>0</v>
      </c>
      <c r="J26" s="3">
        <v>32.517400000000002</v>
      </c>
      <c r="K26" s="2" t="s">
        <v>21</v>
      </c>
      <c r="L26" s="3">
        <v>0</v>
      </c>
    </row>
    <row r="27" spans="1:12" ht="15.75" customHeight="1">
      <c r="A27" s="2" t="s">
        <v>20</v>
      </c>
      <c r="B27" s="3">
        <v>2.6</v>
      </c>
      <c r="C27" s="2" t="s">
        <v>18</v>
      </c>
      <c r="D27" s="2" t="s">
        <v>14</v>
      </c>
      <c r="E27" s="3">
        <v>-90.078999999999994</v>
      </c>
      <c r="F27" s="3">
        <v>17.451000000000001</v>
      </c>
      <c r="G27" s="3">
        <v>0</v>
      </c>
      <c r="H27" s="3">
        <v>0</v>
      </c>
      <c r="I27" s="3">
        <v>0</v>
      </c>
      <c r="J27" s="3">
        <v>-12.855</v>
      </c>
      <c r="K27" s="2" t="s">
        <v>21</v>
      </c>
      <c r="L27" s="3">
        <v>2.6</v>
      </c>
    </row>
    <row r="28" spans="1:12" ht="15.75" customHeight="1">
      <c r="A28" s="2" t="s">
        <v>20</v>
      </c>
      <c r="B28" s="3">
        <v>5.2</v>
      </c>
      <c r="C28" s="2" t="s">
        <v>18</v>
      </c>
      <c r="D28" s="2" t="s">
        <v>14</v>
      </c>
      <c r="E28" s="3">
        <v>-90.078999999999994</v>
      </c>
      <c r="F28" s="3">
        <v>17.451000000000001</v>
      </c>
      <c r="G28" s="3">
        <v>0</v>
      </c>
      <c r="H28" s="3">
        <v>0</v>
      </c>
      <c r="I28" s="3">
        <v>0</v>
      </c>
      <c r="J28" s="3">
        <v>-58.227400000000003</v>
      </c>
      <c r="K28" s="2" t="s">
        <v>21</v>
      </c>
      <c r="L28" s="3">
        <v>5.2</v>
      </c>
    </row>
    <row r="29" spans="1:12" ht="15.75" customHeight="1">
      <c r="A29" s="2" t="s">
        <v>20</v>
      </c>
      <c r="B29" s="3">
        <v>0</v>
      </c>
      <c r="C29" s="2" t="s">
        <v>19</v>
      </c>
      <c r="D29" s="2" t="s">
        <v>14</v>
      </c>
      <c r="E29" s="3">
        <v>-90.078999999999994</v>
      </c>
      <c r="F29" s="3">
        <v>-17.451000000000001</v>
      </c>
      <c r="G29" s="3">
        <v>0</v>
      </c>
      <c r="H29" s="3">
        <v>0</v>
      </c>
      <c r="I29" s="3">
        <v>0</v>
      </c>
      <c r="J29" s="3">
        <v>-32.517400000000002</v>
      </c>
      <c r="K29" s="2" t="s">
        <v>21</v>
      </c>
      <c r="L29" s="3">
        <v>0</v>
      </c>
    </row>
    <row r="30" spans="1:12" ht="15.75" customHeight="1">
      <c r="A30" s="2" t="s">
        <v>20</v>
      </c>
      <c r="B30" s="3">
        <v>2.6</v>
      </c>
      <c r="C30" s="2" t="s">
        <v>19</v>
      </c>
      <c r="D30" s="2" t="s">
        <v>14</v>
      </c>
      <c r="E30" s="3">
        <v>-90.078999999999994</v>
      </c>
      <c r="F30" s="3">
        <v>-17.451000000000001</v>
      </c>
      <c r="G30" s="3">
        <v>0</v>
      </c>
      <c r="H30" s="3">
        <v>0</v>
      </c>
      <c r="I30" s="3">
        <v>0</v>
      </c>
      <c r="J30" s="3">
        <v>12.855</v>
      </c>
      <c r="K30" s="2" t="s">
        <v>21</v>
      </c>
      <c r="L30" s="3">
        <v>2.6</v>
      </c>
    </row>
    <row r="31" spans="1:12" ht="15.75" customHeight="1">
      <c r="A31" s="2" t="s">
        <v>20</v>
      </c>
      <c r="B31" s="3">
        <v>5.2</v>
      </c>
      <c r="C31" s="2" t="s">
        <v>19</v>
      </c>
      <c r="D31" s="2" t="s">
        <v>14</v>
      </c>
      <c r="E31" s="3">
        <v>-90.078999999999994</v>
      </c>
      <c r="F31" s="3">
        <v>-17.451000000000001</v>
      </c>
      <c r="G31" s="3">
        <v>0</v>
      </c>
      <c r="H31" s="3">
        <v>0</v>
      </c>
      <c r="I31" s="3">
        <v>0</v>
      </c>
      <c r="J31" s="3">
        <v>58.227400000000003</v>
      </c>
      <c r="K31" s="2" t="s">
        <v>21</v>
      </c>
      <c r="L31" s="3">
        <v>5.2</v>
      </c>
    </row>
    <row r="32" spans="1:12" ht="15.75" customHeight="1">
      <c r="A32" s="2" t="s">
        <v>22</v>
      </c>
      <c r="B32" s="3">
        <v>0</v>
      </c>
      <c r="C32" s="2" t="s">
        <v>13</v>
      </c>
      <c r="D32" s="2" t="s">
        <v>14</v>
      </c>
      <c r="E32" s="3">
        <v>-18.693999999999999</v>
      </c>
      <c r="F32" s="3">
        <v>40.723999999999997</v>
      </c>
      <c r="G32" s="3">
        <v>0</v>
      </c>
      <c r="H32" s="3">
        <v>0</v>
      </c>
      <c r="I32" s="3">
        <v>0</v>
      </c>
      <c r="J32" s="3">
        <v>125.8599</v>
      </c>
      <c r="K32" s="2" t="s">
        <v>23</v>
      </c>
      <c r="L32" s="3">
        <v>0</v>
      </c>
    </row>
    <row r="33" spans="1:12" ht="15.75" customHeight="1">
      <c r="A33" s="2" t="s">
        <v>22</v>
      </c>
      <c r="B33" s="3">
        <v>2.6</v>
      </c>
      <c r="C33" s="2" t="s">
        <v>13</v>
      </c>
      <c r="D33" s="2" t="s">
        <v>14</v>
      </c>
      <c r="E33" s="3">
        <v>-18.693999999999999</v>
      </c>
      <c r="F33" s="3">
        <v>40.723999999999997</v>
      </c>
      <c r="G33" s="3">
        <v>0</v>
      </c>
      <c r="H33" s="3">
        <v>0</v>
      </c>
      <c r="I33" s="3">
        <v>0</v>
      </c>
      <c r="J33" s="3">
        <v>19.977599999999999</v>
      </c>
      <c r="K33" s="2" t="s">
        <v>23</v>
      </c>
      <c r="L33" s="3">
        <v>2.6</v>
      </c>
    </row>
    <row r="34" spans="1:12" ht="15.75" customHeight="1">
      <c r="A34" s="2" t="s">
        <v>22</v>
      </c>
      <c r="B34" s="3">
        <v>5.2</v>
      </c>
      <c r="C34" s="2" t="s">
        <v>13</v>
      </c>
      <c r="D34" s="2" t="s">
        <v>14</v>
      </c>
      <c r="E34" s="3">
        <v>-18.693999999999999</v>
      </c>
      <c r="F34" s="3">
        <v>40.723999999999997</v>
      </c>
      <c r="G34" s="3">
        <v>0</v>
      </c>
      <c r="H34" s="3">
        <v>0</v>
      </c>
      <c r="I34" s="3">
        <v>0</v>
      </c>
      <c r="J34" s="3">
        <v>-85.904799999999994</v>
      </c>
      <c r="K34" s="2" t="s">
        <v>23</v>
      </c>
      <c r="L34" s="3">
        <v>5.2</v>
      </c>
    </row>
    <row r="35" spans="1:12" ht="15.75" customHeight="1">
      <c r="A35" s="2" t="s">
        <v>22</v>
      </c>
      <c r="B35" s="3">
        <v>0</v>
      </c>
      <c r="C35" s="2" t="s">
        <v>16</v>
      </c>
      <c r="D35" s="2" t="s">
        <v>14</v>
      </c>
      <c r="E35" s="3">
        <v>10.212999999999999</v>
      </c>
      <c r="F35" s="3">
        <v>-1.0249999999999999</v>
      </c>
      <c r="G35" s="3">
        <v>0</v>
      </c>
      <c r="H35" s="3">
        <v>0</v>
      </c>
      <c r="I35" s="3">
        <v>0</v>
      </c>
      <c r="J35" s="3">
        <v>4.8253000000000004</v>
      </c>
      <c r="K35" s="2" t="s">
        <v>23</v>
      </c>
      <c r="L35" s="3">
        <v>0</v>
      </c>
    </row>
    <row r="36" spans="1:12" ht="15.75" customHeight="1">
      <c r="A36" s="2" t="s">
        <v>22</v>
      </c>
      <c r="B36" s="3">
        <v>2.6</v>
      </c>
      <c r="C36" s="2" t="s">
        <v>16</v>
      </c>
      <c r="D36" s="2" t="s">
        <v>14</v>
      </c>
      <c r="E36" s="3">
        <v>10.212999999999999</v>
      </c>
      <c r="F36" s="3">
        <v>-1.0249999999999999</v>
      </c>
      <c r="G36" s="3">
        <v>0</v>
      </c>
      <c r="H36" s="3">
        <v>0</v>
      </c>
      <c r="I36" s="3">
        <v>0</v>
      </c>
      <c r="J36" s="3">
        <v>7.4897999999999998</v>
      </c>
      <c r="K36" s="2" t="s">
        <v>23</v>
      </c>
      <c r="L36" s="3">
        <v>2.6</v>
      </c>
    </row>
    <row r="37" spans="1:12" ht="15.75" customHeight="1">
      <c r="A37" s="2" t="s">
        <v>22</v>
      </c>
      <c r="B37" s="3">
        <v>5.2</v>
      </c>
      <c r="C37" s="2" t="s">
        <v>16</v>
      </c>
      <c r="D37" s="2" t="s">
        <v>14</v>
      </c>
      <c r="E37" s="3">
        <v>10.212999999999999</v>
      </c>
      <c r="F37" s="3">
        <v>-1.0249999999999999</v>
      </c>
      <c r="G37" s="3">
        <v>0</v>
      </c>
      <c r="H37" s="3">
        <v>0</v>
      </c>
      <c r="I37" s="3">
        <v>0</v>
      </c>
      <c r="J37" s="3">
        <v>10.154299999999999</v>
      </c>
      <c r="K37" s="2" t="s">
        <v>23</v>
      </c>
      <c r="L37" s="3">
        <v>5.2</v>
      </c>
    </row>
    <row r="38" spans="1:12" ht="15.75" customHeight="1">
      <c r="A38" s="2" t="s">
        <v>22</v>
      </c>
      <c r="B38" s="3">
        <v>0</v>
      </c>
      <c r="C38" s="2" t="s">
        <v>17</v>
      </c>
      <c r="D38" s="2" t="s">
        <v>14</v>
      </c>
      <c r="E38" s="3">
        <v>-152.78200000000001</v>
      </c>
      <c r="F38" s="3">
        <v>33.564999999999998</v>
      </c>
      <c r="G38" s="3">
        <v>0</v>
      </c>
      <c r="H38" s="3">
        <v>0</v>
      </c>
      <c r="I38" s="3">
        <v>0</v>
      </c>
      <c r="J38" s="3">
        <v>49.655099999999997</v>
      </c>
      <c r="K38" s="2" t="s">
        <v>23</v>
      </c>
      <c r="L38" s="3">
        <v>0</v>
      </c>
    </row>
    <row r="39" spans="1:12" ht="15.75" customHeight="1">
      <c r="A39" s="2" t="s">
        <v>22</v>
      </c>
      <c r="B39" s="3">
        <v>2.6</v>
      </c>
      <c r="C39" s="2" t="s">
        <v>17</v>
      </c>
      <c r="D39" s="2" t="s">
        <v>14</v>
      </c>
      <c r="E39" s="3">
        <v>-152.78200000000001</v>
      </c>
      <c r="F39" s="3">
        <v>33.564999999999998</v>
      </c>
      <c r="G39" s="3">
        <v>0</v>
      </c>
      <c r="H39" s="3">
        <v>0</v>
      </c>
      <c r="I39" s="3">
        <v>0</v>
      </c>
      <c r="J39" s="3">
        <v>-37.613599999999998</v>
      </c>
      <c r="K39" s="2" t="s">
        <v>23</v>
      </c>
      <c r="L39" s="3">
        <v>2.6</v>
      </c>
    </row>
    <row r="40" spans="1:12" ht="15.75" customHeight="1">
      <c r="A40" s="2" t="s">
        <v>22</v>
      </c>
      <c r="B40" s="3">
        <v>5.2</v>
      </c>
      <c r="C40" s="2" t="s">
        <v>17</v>
      </c>
      <c r="D40" s="2" t="s">
        <v>14</v>
      </c>
      <c r="E40" s="3">
        <v>-152.78200000000001</v>
      </c>
      <c r="F40" s="3">
        <v>33.564999999999998</v>
      </c>
      <c r="G40" s="3">
        <v>0</v>
      </c>
      <c r="H40" s="3">
        <v>0</v>
      </c>
      <c r="I40" s="3">
        <v>0</v>
      </c>
      <c r="J40" s="3">
        <v>-124.8822</v>
      </c>
      <c r="K40" s="2" t="s">
        <v>23</v>
      </c>
      <c r="L40" s="3">
        <v>5.2</v>
      </c>
    </row>
    <row r="41" spans="1:12" ht="15.75" customHeight="1">
      <c r="A41" s="2" t="s">
        <v>22</v>
      </c>
      <c r="B41" s="3">
        <v>0</v>
      </c>
      <c r="C41" s="2" t="s">
        <v>18</v>
      </c>
      <c r="D41" s="2" t="s">
        <v>14</v>
      </c>
      <c r="E41" s="3">
        <v>5.1529999999999996</v>
      </c>
      <c r="F41" s="3">
        <v>-0.51700000000000002</v>
      </c>
      <c r="G41" s="3">
        <v>0</v>
      </c>
      <c r="H41" s="3">
        <v>0</v>
      </c>
      <c r="I41" s="3">
        <v>0</v>
      </c>
      <c r="J41" s="3">
        <v>2.4344000000000001</v>
      </c>
      <c r="K41" s="2" t="s">
        <v>23</v>
      </c>
      <c r="L41" s="3">
        <v>0</v>
      </c>
    </row>
    <row r="42" spans="1:12" ht="15.75" customHeight="1">
      <c r="A42" s="2" t="s">
        <v>22</v>
      </c>
      <c r="B42" s="3">
        <v>2.6</v>
      </c>
      <c r="C42" s="2" t="s">
        <v>18</v>
      </c>
      <c r="D42" s="2" t="s">
        <v>14</v>
      </c>
      <c r="E42" s="3">
        <v>5.1529999999999996</v>
      </c>
      <c r="F42" s="3">
        <v>-0.51700000000000002</v>
      </c>
      <c r="G42" s="3">
        <v>0</v>
      </c>
      <c r="H42" s="3">
        <v>0</v>
      </c>
      <c r="I42" s="3">
        <v>0</v>
      </c>
      <c r="J42" s="3">
        <v>3.7787000000000002</v>
      </c>
      <c r="K42" s="2" t="s">
        <v>23</v>
      </c>
      <c r="L42" s="3">
        <v>2.6</v>
      </c>
    </row>
    <row r="43" spans="1:12" ht="15.75" customHeight="1">
      <c r="A43" s="2" t="s">
        <v>22</v>
      </c>
      <c r="B43" s="3">
        <v>5.2</v>
      </c>
      <c r="C43" s="2" t="s">
        <v>18</v>
      </c>
      <c r="D43" s="2" t="s">
        <v>14</v>
      </c>
      <c r="E43" s="3">
        <v>5.1529999999999996</v>
      </c>
      <c r="F43" s="3">
        <v>-0.51700000000000002</v>
      </c>
      <c r="G43" s="3">
        <v>0</v>
      </c>
      <c r="H43" s="3">
        <v>0</v>
      </c>
      <c r="I43" s="3">
        <v>0</v>
      </c>
      <c r="J43" s="3">
        <v>5.1230000000000002</v>
      </c>
      <c r="K43" s="2" t="s">
        <v>23</v>
      </c>
      <c r="L43" s="3">
        <v>5.2</v>
      </c>
    </row>
    <row r="44" spans="1:12" ht="15.75" customHeight="1">
      <c r="A44" s="2" t="s">
        <v>22</v>
      </c>
      <c r="B44" s="3">
        <v>0</v>
      </c>
      <c r="C44" s="2" t="s">
        <v>19</v>
      </c>
      <c r="D44" s="2" t="s">
        <v>14</v>
      </c>
      <c r="E44" s="3">
        <v>-77.08</v>
      </c>
      <c r="F44" s="3">
        <v>16.934000000000001</v>
      </c>
      <c r="G44" s="3">
        <v>0</v>
      </c>
      <c r="H44" s="3">
        <v>0</v>
      </c>
      <c r="I44" s="3">
        <v>0</v>
      </c>
      <c r="J44" s="3">
        <v>25.051600000000001</v>
      </c>
      <c r="K44" s="2" t="s">
        <v>23</v>
      </c>
      <c r="L44" s="3">
        <v>0</v>
      </c>
    </row>
    <row r="45" spans="1:12" ht="15.75" customHeight="1">
      <c r="A45" s="2" t="s">
        <v>22</v>
      </c>
      <c r="B45" s="3">
        <v>2.6</v>
      </c>
      <c r="C45" s="2" t="s">
        <v>19</v>
      </c>
      <c r="D45" s="2" t="s">
        <v>14</v>
      </c>
      <c r="E45" s="3">
        <v>-77.08</v>
      </c>
      <c r="F45" s="3">
        <v>16.934000000000001</v>
      </c>
      <c r="G45" s="3">
        <v>0</v>
      </c>
      <c r="H45" s="3">
        <v>0</v>
      </c>
      <c r="I45" s="3">
        <v>0</v>
      </c>
      <c r="J45" s="3">
        <v>-18.976500000000001</v>
      </c>
      <c r="K45" s="2" t="s">
        <v>23</v>
      </c>
      <c r="L45" s="3">
        <v>2.6</v>
      </c>
    </row>
    <row r="46" spans="1:12" ht="15.75" customHeight="1">
      <c r="A46" s="2" t="s">
        <v>22</v>
      </c>
      <c r="B46" s="3">
        <v>5.2</v>
      </c>
      <c r="C46" s="2" t="s">
        <v>19</v>
      </c>
      <c r="D46" s="2" t="s">
        <v>14</v>
      </c>
      <c r="E46" s="3">
        <v>-77.08</v>
      </c>
      <c r="F46" s="3">
        <v>16.934000000000001</v>
      </c>
      <c r="G46" s="3">
        <v>0</v>
      </c>
      <c r="H46" s="3">
        <v>0</v>
      </c>
      <c r="I46" s="3">
        <v>0</v>
      </c>
      <c r="J46" s="3">
        <v>-63.004600000000003</v>
      </c>
      <c r="K46" s="2" t="s">
        <v>23</v>
      </c>
      <c r="L46" s="3">
        <v>5.2</v>
      </c>
    </row>
    <row r="47" spans="1:12" ht="15.75" customHeight="1">
      <c r="A47" s="2" t="s">
        <v>24</v>
      </c>
      <c r="B47" s="3">
        <v>0</v>
      </c>
      <c r="C47" s="2" t="s">
        <v>13</v>
      </c>
      <c r="D47" s="2" t="s">
        <v>14</v>
      </c>
      <c r="E47" s="3">
        <v>0</v>
      </c>
      <c r="F47" s="3">
        <v>18.693999999999999</v>
      </c>
      <c r="G47" s="3">
        <v>0</v>
      </c>
      <c r="H47" s="3">
        <v>0</v>
      </c>
      <c r="I47" s="3">
        <v>0</v>
      </c>
      <c r="J47" s="3">
        <v>85.904799999999994</v>
      </c>
      <c r="K47" s="2" t="s">
        <v>25</v>
      </c>
      <c r="L47" s="3">
        <v>0</v>
      </c>
    </row>
    <row r="48" spans="1:12" ht="15.75" customHeight="1">
      <c r="A48" s="2" t="s">
        <v>24</v>
      </c>
      <c r="B48" s="3">
        <v>1.0062500000000001</v>
      </c>
      <c r="C48" s="2" t="s">
        <v>13</v>
      </c>
      <c r="D48" s="2" t="s">
        <v>14</v>
      </c>
      <c r="E48" s="3">
        <v>0</v>
      </c>
      <c r="F48" s="3">
        <v>18.693999999999999</v>
      </c>
      <c r="G48" s="3">
        <v>0</v>
      </c>
      <c r="H48" s="3">
        <v>0</v>
      </c>
      <c r="I48" s="3">
        <v>0</v>
      </c>
      <c r="J48" s="3">
        <v>67.094200000000001</v>
      </c>
      <c r="K48" s="2" t="s">
        <v>25</v>
      </c>
      <c r="L48" s="3">
        <v>1.0062500000000001</v>
      </c>
    </row>
    <row r="49" spans="1:12" ht="15.75" customHeight="1">
      <c r="A49" s="2" t="s">
        <v>24</v>
      </c>
      <c r="B49" s="3">
        <v>2.0125000000000002</v>
      </c>
      <c r="C49" s="2" t="s">
        <v>13</v>
      </c>
      <c r="D49" s="2" t="s">
        <v>14</v>
      </c>
      <c r="E49" s="3">
        <v>0</v>
      </c>
      <c r="F49" s="3">
        <v>18.693999999999999</v>
      </c>
      <c r="G49" s="3">
        <v>0</v>
      </c>
      <c r="H49" s="3">
        <v>0</v>
      </c>
      <c r="I49" s="3">
        <v>0</v>
      </c>
      <c r="J49" s="3">
        <v>48.283700000000003</v>
      </c>
      <c r="K49" s="2" t="s">
        <v>25</v>
      </c>
      <c r="L49" s="3">
        <v>2.0125000000000002</v>
      </c>
    </row>
    <row r="50" spans="1:12" ht="15.75" customHeight="1">
      <c r="A50" s="2" t="s">
        <v>24</v>
      </c>
      <c r="B50" s="3">
        <v>3.0187499999999998</v>
      </c>
      <c r="C50" s="2" t="s">
        <v>13</v>
      </c>
      <c r="D50" s="2" t="s">
        <v>14</v>
      </c>
      <c r="E50" s="3">
        <v>0</v>
      </c>
      <c r="F50" s="3">
        <v>18.693999999999999</v>
      </c>
      <c r="G50" s="3">
        <v>0</v>
      </c>
      <c r="H50" s="3">
        <v>0</v>
      </c>
      <c r="I50" s="3">
        <v>0</v>
      </c>
      <c r="J50" s="3">
        <v>29.473199999999999</v>
      </c>
      <c r="K50" s="2" t="s">
        <v>25</v>
      </c>
      <c r="L50" s="3">
        <v>3.0187499999999998</v>
      </c>
    </row>
    <row r="51" spans="1:12" ht="15.75" customHeight="1">
      <c r="A51" s="2" t="s">
        <v>24</v>
      </c>
      <c r="B51" s="3">
        <v>4.0250000000000004</v>
      </c>
      <c r="C51" s="2" t="s">
        <v>13</v>
      </c>
      <c r="D51" s="2" t="s">
        <v>14</v>
      </c>
      <c r="E51" s="3">
        <v>0</v>
      </c>
      <c r="F51" s="3">
        <v>18.693999999999999</v>
      </c>
      <c r="G51" s="3">
        <v>0</v>
      </c>
      <c r="H51" s="3">
        <v>0</v>
      </c>
      <c r="I51" s="3">
        <v>0</v>
      </c>
      <c r="J51" s="3">
        <v>10.662599999999999</v>
      </c>
      <c r="K51" s="2" t="s">
        <v>25</v>
      </c>
      <c r="L51" s="3">
        <v>4.0250000000000004</v>
      </c>
    </row>
    <row r="52" spans="1:12" ht="15.75" customHeight="1">
      <c r="A52" s="2" t="s">
        <v>24</v>
      </c>
      <c r="B52" s="3">
        <v>5.03125</v>
      </c>
      <c r="C52" s="2" t="s">
        <v>13</v>
      </c>
      <c r="D52" s="2" t="s">
        <v>14</v>
      </c>
      <c r="E52" s="3">
        <v>0</v>
      </c>
      <c r="F52" s="3">
        <v>18.693999999999999</v>
      </c>
      <c r="G52" s="3">
        <v>0</v>
      </c>
      <c r="H52" s="3">
        <v>0</v>
      </c>
      <c r="I52" s="3">
        <v>0</v>
      </c>
      <c r="J52" s="3">
        <v>-8.1478999999999999</v>
      </c>
      <c r="K52" s="2" t="s">
        <v>25</v>
      </c>
      <c r="L52" s="3">
        <v>5.03125</v>
      </c>
    </row>
    <row r="53" spans="1:12" ht="15.75" customHeight="1">
      <c r="A53" s="2" t="s">
        <v>24</v>
      </c>
      <c r="B53" s="3">
        <v>6.0374999999999996</v>
      </c>
      <c r="C53" s="2" t="s">
        <v>13</v>
      </c>
      <c r="D53" s="2" t="s">
        <v>14</v>
      </c>
      <c r="E53" s="3">
        <v>0</v>
      </c>
      <c r="F53" s="3">
        <v>18.693999999999999</v>
      </c>
      <c r="G53" s="3">
        <v>0</v>
      </c>
      <c r="H53" s="3">
        <v>0</v>
      </c>
      <c r="I53" s="3">
        <v>0</v>
      </c>
      <c r="J53" s="3">
        <v>-26.958400000000001</v>
      </c>
      <c r="K53" s="2" t="s">
        <v>25</v>
      </c>
      <c r="L53" s="3">
        <v>6.0374999999999996</v>
      </c>
    </row>
    <row r="54" spans="1:12" ht="15.75" customHeight="1">
      <c r="A54" s="2" t="s">
        <v>24</v>
      </c>
      <c r="B54" s="3">
        <v>7.0437500000000002</v>
      </c>
      <c r="C54" s="2" t="s">
        <v>13</v>
      </c>
      <c r="D54" s="2" t="s">
        <v>14</v>
      </c>
      <c r="E54" s="3">
        <v>0</v>
      </c>
      <c r="F54" s="3">
        <v>18.693999999999999</v>
      </c>
      <c r="G54" s="3">
        <v>0</v>
      </c>
      <c r="H54" s="3">
        <v>0</v>
      </c>
      <c r="I54" s="3">
        <v>0</v>
      </c>
      <c r="J54" s="3">
        <v>-45.768900000000002</v>
      </c>
      <c r="K54" s="2" t="s">
        <v>25</v>
      </c>
      <c r="L54" s="3">
        <v>7.0437500000000002</v>
      </c>
    </row>
    <row r="55" spans="1:12" ht="15.75" customHeight="1">
      <c r="A55" s="2" t="s">
        <v>24</v>
      </c>
      <c r="B55" s="3">
        <v>8.0500000000000007</v>
      </c>
      <c r="C55" s="2" t="s">
        <v>13</v>
      </c>
      <c r="D55" s="2" t="s">
        <v>14</v>
      </c>
      <c r="E55" s="3">
        <v>0</v>
      </c>
      <c r="F55" s="3">
        <v>18.693999999999999</v>
      </c>
      <c r="G55" s="3">
        <v>0</v>
      </c>
      <c r="H55" s="3">
        <v>0</v>
      </c>
      <c r="I55" s="3">
        <v>0</v>
      </c>
      <c r="J55" s="3">
        <v>-64.579499999999996</v>
      </c>
      <c r="K55" s="2" t="s">
        <v>25</v>
      </c>
      <c r="L55" s="3">
        <v>8.0500000000000007</v>
      </c>
    </row>
    <row r="56" spans="1:12" ht="15.75" customHeight="1">
      <c r="A56" s="2" t="s">
        <v>24</v>
      </c>
      <c r="B56" s="3">
        <v>0</v>
      </c>
      <c r="C56" s="2" t="s">
        <v>16</v>
      </c>
      <c r="D56" s="2" t="s">
        <v>14</v>
      </c>
      <c r="E56" s="3">
        <v>0</v>
      </c>
      <c r="F56" s="3">
        <v>-152.78200000000001</v>
      </c>
      <c r="G56" s="3">
        <v>0</v>
      </c>
      <c r="H56" s="3">
        <v>0</v>
      </c>
      <c r="I56" s="3">
        <v>0</v>
      </c>
      <c r="J56" s="3">
        <v>-124.8822</v>
      </c>
      <c r="K56" s="2" t="s">
        <v>25</v>
      </c>
      <c r="L56" s="3">
        <v>0</v>
      </c>
    </row>
    <row r="57" spans="1:12" ht="15.75" customHeight="1">
      <c r="A57" s="2" t="s">
        <v>24</v>
      </c>
      <c r="B57" s="3">
        <v>1.0062500000000001</v>
      </c>
      <c r="C57" s="2" t="s">
        <v>16</v>
      </c>
      <c r="D57" s="2" t="s">
        <v>14</v>
      </c>
      <c r="E57" s="3">
        <v>0</v>
      </c>
      <c r="F57" s="3">
        <v>-112.642</v>
      </c>
      <c r="G57" s="3">
        <v>0</v>
      </c>
      <c r="H57" s="3">
        <v>0</v>
      </c>
      <c r="I57" s="3">
        <v>0</v>
      </c>
      <c r="J57" s="3">
        <v>8.6593</v>
      </c>
      <c r="K57" s="2" t="s">
        <v>25</v>
      </c>
      <c r="L57" s="3">
        <v>1.0062500000000001</v>
      </c>
    </row>
    <row r="58" spans="1:12" ht="15.75" customHeight="1">
      <c r="A58" s="2" t="s">
        <v>24</v>
      </c>
      <c r="B58" s="3">
        <v>2.0125000000000002</v>
      </c>
      <c r="C58" s="2" t="s">
        <v>16</v>
      </c>
      <c r="D58" s="2" t="s">
        <v>14</v>
      </c>
      <c r="E58" s="3">
        <v>0</v>
      </c>
      <c r="F58" s="3">
        <v>-72.503</v>
      </c>
      <c r="G58" s="3">
        <v>0</v>
      </c>
      <c r="H58" s="3">
        <v>0</v>
      </c>
      <c r="I58" s="3">
        <v>0</v>
      </c>
      <c r="J58" s="3">
        <v>101.81059999999999</v>
      </c>
      <c r="K58" s="2" t="s">
        <v>25</v>
      </c>
      <c r="L58" s="3">
        <v>2.0125000000000002</v>
      </c>
    </row>
    <row r="59" spans="1:12" ht="15.75" customHeight="1">
      <c r="A59" s="2" t="s">
        <v>24</v>
      </c>
      <c r="B59" s="3">
        <v>3.0187499999999998</v>
      </c>
      <c r="C59" s="2" t="s">
        <v>16</v>
      </c>
      <c r="D59" s="2" t="s">
        <v>14</v>
      </c>
      <c r="E59" s="3">
        <v>0</v>
      </c>
      <c r="F59" s="3">
        <v>-32.363999999999997</v>
      </c>
      <c r="G59" s="3">
        <v>0</v>
      </c>
      <c r="H59" s="3">
        <v>0</v>
      </c>
      <c r="I59" s="3">
        <v>0</v>
      </c>
      <c r="J59" s="3">
        <v>154.5718</v>
      </c>
      <c r="K59" s="2" t="s">
        <v>25</v>
      </c>
      <c r="L59" s="3">
        <v>3.0187499999999998</v>
      </c>
    </row>
    <row r="60" spans="1:12" ht="15.75" customHeight="1">
      <c r="A60" s="2" t="s">
        <v>24</v>
      </c>
      <c r="B60" s="3">
        <v>4.0250000000000004</v>
      </c>
      <c r="C60" s="2" t="s">
        <v>16</v>
      </c>
      <c r="D60" s="2" t="s">
        <v>14</v>
      </c>
      <c r="E60" s="3">
        <v>0</v>
      </c>
      <c r="F60" s="3">
        <v>7.7759999999999998</v>
      </c>
      <c r="G60" s="3">
        <v>0</v>
      </c>
      <c r="H60" s="3">
        <v>0</v>
      </c>
      <c r="I60" s="3">
        <v>0</v>
      </c>
      <c r="J60" s="3">
        <v>166.9427</v>
      </c>
      <c r="K60" s="2" t="s">
        <v>25</v>
      </c>
      <c r="L60" s="3">
        <v>4.0250000000000004</v>
      </c>
    </row>
    <row r="61" spans="1:12" ht="15.75" customHeight="1">
      <c r="A61" s="2" t="s">
        <v>24</v>
      </c>
      <c r="B61" s="3">
        <v>5.03125</v>
      </c>
      <c r="C61" s="2" t="s">
        <v>16</v>
      </c>
      <c r="D61" s="2" t="s">
        <v>14</v>
      </c>
      <c r="E61" s="3">
        <v>0</v>
      </c>
      <c r="F61" s="3">
        <v>47.914999999999999</v>
      </c>
      <c r="G61" s="3">
        <v>0</v>
      </c>
      <c r="H61" s="3">
        <v>0</v>
      </c>
      <c r="I61" s="3">
        <v>0</v>
      </c>
      <c r="J61" s="3">
        <v>138.92349999999999</v>
      </c>
      <c r="K61" s="2" t="s">
        <v>25</v>
      </c>
      <c r="L61" s="3">
        <v>5.03125</v>
      </c>
    </row>
    <row r="62" spans="1:12" ht="15.75" customHeight="1">
      <c r="A62" s="2" t="s">
        <v>24</v>
      </c>
      <c r="B62" s="3">
        <v>6.0374999999999996</v>
      </c>
      <c r="C62" s="2" t="s">
        <v>16</v>
      </c>
      <c r="D62" s="2" t="s">
        <v>14</v>
      </c>
      <c r="E62" s="3">
        <v>0</v>
      </c>
      <c r="F62" s="3">
        <v>88.054000000000002</v>
      </c>
      <c r="G62" s="3">
        <v>0</v>
      </c>
      <c r="H62" s="3">
        <v>0</v>
      </c>
      <c r="I62" s="3">
        <v>0</v>
      </c>
      <c r="J62" s="3">
        <v>70.514099999999999</v>
      </c>
      <c r="K62" s="2" t="s">
        <v>25</v>
      </c>
      <c r="L62" s="3">
        <v>6.0374999999999996</v>
      </c>
    </row>
    <row r="63" spans="1:12" ht="15.75" customHeight="1">
      <c r="A63" s="2" t="s">
        <v>24</v>
      </c>
      <c r="B63" s="3">
        <v>7.0437500000000002</v>
      </c>
      <c r="C63" s="2" t="s">
        <v>16</v>
      </c>
      <c r="D63" s="2" t="s">
        <v>14</v>
      </c>
      <c r="E63" s="3">
        <v>0</v>
      </c>
      <c r="F63" s="3">
        <v>128.19300000000001</v>
      </c>
      <c r="G63" s="3">
        <v>0</v>
      </c>
      <c r="H63" s="3">
        <v>0</v>
      </c>
      <c r="I63" s="3">
        <v>0</v>
      </c>
      <c r="J63" s="3">
        <v>-38.285499999999999</v>
      </c>
      <c r="K63" s="2" t="s">
        <v>25</v>
      </c>
      <c r="L63" s="3">
        <v>7.0437500000000002</v>
      </c>
    </row>
    <row r="64" spans="1:12" ht="15.75" customHeight="1">
      <c r="A64" s="2" t="s">
        <v>24</v>
      </c>
      <c r="B64" s="3">
        <v>8.0500000000000007</v>
      </c>
      <c r="C64" s="2" t="s">
        <v>16</v>
      </c>
      <c r="D64" s="2" t="s">
        <v>14</v>
      </c>
      <c r="E64" s="3">
        <v>0</v>
      </c>
      <c r="F64" s="3">
        <v>168.333</v>
      </c>
      <c r="G64" s="3">
        <v>0</v>
      </c>
      <c r="H64" s="3">
        <v>0</v>
      </c>
      <c r="I64" s="3">
        <v>0</v>
      </c>
      <c r="J64" s="3">
        <v>-187.4752</v>
      </c>
      <c r="K64" s="2" t="s">
        <v>25</v>
      </c>
      <c r="L64" s="3">
        <v>8.0500000000000007</v>
      </c>
    </row>
    <row r="65" spans="1:12" ht="15.75" customHeight="1">
      <c r="A65" s="2" t="s">
        <v>24</v>
      </c>
      <c r="B65" s="3">
        <v>0</v>
      </c>
      <c r="C65" s="2" t="s">
        <v>17</v>
      </c>
      <c r="D65" s="2" t="s">
        <v>14</v>
      </c>
      <c r="E65" s="3">
        <v>0</v>
      </c>
      <c r="F65" s="3">
        <v>10.212999999999999</v>
      </c>
      <c r="G65" s="3">
        <v>0</v>
      </c>
      <c r="H65" s="3">
        <v>0</v>
      </c>
      <c r="I65" s="3">
        <v>0</v>
      </c>
      <c r="J65" s="3">
        <v>10.154299999999999</v>
      </c>
      <c r="K65" s="2" t="s">
        <v>25</v>
      </c>
      <c r="L65" s="3">
        <v>0</v>
      </c>
    </row>
    <row r="66" spans="1:12" ht="15.75" customHeight="1">
      <c r="A66" s="2" t="s">
        <v>24</v>
      </c>
      <c r="B66" s="3">
        <v>1.0062500000000001</v>
      </c>
      <c r="C66" s="2" t="s">
        <v>17</v>
      </c>
      <c r="D66" s="2" t="s">
        <v>14</v>
      </c>
      <c r="E66" s="3">
        <v>0</v>
      </c>
      <c r="F66" s="3">
        <v>10.212999999999999</v>
      </c>
      <c r="G66" s="3">
        <v>0</v>
      </c>
      <c r="H66" s="3">
        <v>0</v>
      </c>
      <c r="I66" s="3">
        <v>0</v>
      </c>
      <c r="J66" s="3">
        <v>-0.1227</v>
      </c>
      <c r="K66" s="2" t="s">
        <v>25</v>
      </c>
      <c r="L66" s="3">
        <v>1.0062500000000001</v>
      </c>
    </row>
    <row r="67" spans="1:12" ht="15.75" customHeight="1">
      <c r="A67" s="2" t="s">
        <v>24</v>
      </c>
      <c r="B67" s="3">
        <v>2.0125000000000002</v>
      </c>
      <c r="C67" s="2" t="s">
        <v>17</v>
      </c>
      <c r="D67" s="2" t="s">
        <v>14</v>
      </c>
      <c r="E67" s="3">
        <v>0</v>
      </c>
      <c r="F67" s="3">
        <v>10.212999999999999</v>
      </c>
      <c r="G67" s="3">
        <v>0</v>
      </c>
      <c r="H67" s="3">
        <v>0</v>
      </c>
      <c r="I67" s="3">
        <v>0</v>
      </c>
      <c r="J67" s="3">
        <v>-10.399800000000001</v>
      </c>
      <c r="K67" s="2" t="s">
        <v>25</v>
      </c>
      <c r="L67" s="3">
        <v>2.0125000000000002</v>
      </c>
    </row>
    <row r="68" spans="1:12" ht="15.75" customHeight="1">
      <c r="A68" s="2" t="s">
        <v>24</v>
      </c>
      <c r="B68" s="3">
        <v>3.0187499999999998</v>
      </c>
      <c r="C68" s="2" t="s">
        <v>17</v>
      </c>
      <c r="D68" s="2" t="s">
        <v>14</v>
      </c>
      <c r="E68" s="3">
        <v>0</v>
      </c>
      <c r="F68" s="3">
        <v>10.212999999999999</v>
      </c>
      <c r="G68" s="3">
        <v>0</v>
      </c>
      <c r="H68" s="3">
        <v>0</v>
      </c>
      <c r="I68" s="3">
        <v>0</v>
      </c>
      <c r="J68" s="3">
        <v>-20.6768</v>
      </c>
      <c r="K68" s="2" t="s">
        <v>25</v>
      </c>
      <c r="L68" s="3">
        <v>3.0187499999999998</v>
      </c>
    </row>
    <row r="69" spans="1:12" ht="15.75" customHeight="1">
      <c r="A69" s="2" t="s">
        <v>24</v>
      </c>
      <c r="B69" s="3">
        <v>4.0250000000000004</v>
      </c>
      <c r="C69" s="2" t="s">
        <v>17</v>
      </c>
      <c r="D69" s="2" t="s">
        <v>14</v>
      </c>
      <c r="E69" s="3">
        <v>0</v>
      </c>
      <c r="F69" s="3">
        <v>10.212999999999999</v>
      </c>
      <c r="G69" s="3">
        <v>0</v>
      </c>
      <c r="H69" s="3">
        <v>0</v>
      </c>
      <c r="I69" s="3">
        <v>0</v>
      </c>
      <c r="J69" s="3">
        <v>-30.953800000000001</v>
      </c>
      <c r="K69" s="2" t="s">
        <v>25</v>
      </c>
      <c r="L69" s="3">
        <v>4.0250000000000004</v>
      </c>
    </row>
    <row r="70" spans="1:12" ht="15.75" customHeight="1">
      <c r="A70" s="2" t="s">
        <v>24</v>
      </c>
      <c r="B70" s="3">
        <v>5.03125</v>
      </c>
      <c r="C70" s="2" t="s">
        <v>17</v>
      </c>
      <c r="D70" s="2" t="s">
        <v>14</v>
      </c>
      <c r="E70" s="3">
        <v>0</v>
      </c>
      <c r="F70" s="3">
        <v>10.212999999999999</v>
      </c>
      <c r="G70" s="3">
        <v>0</v>
      </c>
      <c r="H70" s="3">
        <v>0</v>
      </c>
      <c r="I70" s="3">
        <v>0</v>
      </c>
      <c r="J70" s="3">
        <v>-41.230899999999998</v>
      </c>
      <c r="K70" s="2" t="s">
        <v>25</v>
      </c>
      <c r="L70" s="3">
        <v>5.03125</v>
      </c>
    </row>
    <row r="71" spans="1:12" ht="15.75" customHeight="1">
      <c r="A71" s="2" t="s">
        <v>24</v>
      </c>
      <c r="B71" s="3">
        <v>6.0374999999999996</v>
      </c>
      <c r="C71" s="2" t="s">
        <v>17</v>
      </c>
      <c r="D71" s="2" t="s">
        <v>14</v>
      </c>
      <c r="E71" s="3">
        <v>0</v>
      </c>
      <c r="F71" s="3">
        <v>10.212999999999999</v>
      </c>
      <c r="G71" s="3">
        <v>0</v>
      </c>
      <c r="H71" s="3">
        <v>0</v>
      </c>
      <c r="I71" s="3">
        <v>0</v>
      </c>
      <c r="J71" s="3">
        <v>-51.507899999999999</v>
      </c>
      <c r="K71" s="2" t="s">
        <v>25</v>
      </c>
      <c r="L71" s="3">
        <v>6.0374999999999996</v>
      </c>
    </row>
    <row r="72" spans="1:12" ht="15.75" customHeight="1">
      <c r="A72" s="2" t="s">
        <v>24</v>
      </c>
      <c r="B72" s="3">
        <v>7.0437500000000002</v>
      </c>
      <c r="C72" s="2" t="s">
        <v>17</v>
      </c>
      <c r="D72" s="2" t="s">
        <v>14</v>
      </c>
      <c r="E72" s="3">
        <v>0</v>
      </c>
      <c r="F72" s="3">
        <v>10.212999999999999</v>
      </c>
      <c r="G72" s="3">
        <v>0</v>
      </c>
      <c r="H72" s="3">
        <v>0</v>
      </c>
      <c r="I72" s="3">
        <v>0</v>
      </c>
      <c r="J72" s="3">
        <v>-61.784999999999997</v>
      </c>
      <c r="K72" s="2" t="s">
        <v>25</v>
      </c>
      <c r="L72" s="3">
        <v>7.0437500000000002</v>
      </c>
    </row>
    <row r="73" spans="1:12" ht="15.75" customHeight="1">
      <c r="A73" s="2" t="s">
        <v>24</v>
      </c>
      <c r="B73" s="3">
        <v>8.0500000000000007</v>
      </c>
      <c r="C73" s="2" t="s">
        <v>17</v>
      </c>
      <c r="D73" s="2" t="s">
        <v>14</v>
      </c>
      <c r="E73" s="3">
        <v>0</v>
      </c>
      <c r="F73" s="3">
        <v>10.212999999999999</v>
      </c>
      <c r="G73" s="3">
        <v>0</v>
      </c>
      <c r="H73" s="3">
        <v>0</v>
      </c>
      <c r="I73" s="3">
        <v>0</v>
      </c>
      <c r="J73" s="3">
        <v>-72.061999999999998</v>
      </c>
      <c r="K73" s="2" t="s">
        <v>25</v>
      </c>
      <c r="L73" s="3">
        <v>8.0500000000000007</v>
      </c>
    </row>
    <row r="74" spans="1:12" ht="15.75" customHeight="1">
      <c r="A74" s="2" t="s">
        <v>24</v>
      </c>
      <c r="B74" s="3">
        <v>0</v>
      </c>
      <c r="C74" s="2" t="s">
        <v>18</v>
      </c>
      <c r="D74" s="2" t="s">
        <v>14</v>
      </c>
      <c r="E74" s="3">
        <v>0</v>
      </c>
      <c r="F74" s="3">
        <v>-77.08</v>
      </c>
      <c r="G74" s="3">
        <v>0</v>
      </c>
      <c r="H74" s="3">
        <v>0</v>
      </c>
      <c r="I74" s="3">
        <v>0</v>
      </c>
      <c r="J74" s="3">
        <v>-63.004600000000003</v>
      </c>
      <c r="K74" s="2" t="s">
        <v>25</v>
      </c>
      <c r="L74" s="3">
        <v>0</v>
      </c>
    </row>
    <row r="75" spans="1:12" ht="15.75" customHeight="1">
      <c r="A75" s="2" t="s">
        <v>24</v>
      </c>
      <c r="B75" s="3">
        <v>1.0062500000000001</v>
      </c>
      <c r="C75" s="2" t="s">
        <v>18</v>
      </c>
      <c r="D75" s="2" t="s">
        <v>14</v>
      </c>
      <c r="E75" s="3">
        <v>0</v>
      </c>
      <c r="F75" s="3">
        <v>-56.829000000000001</v>
      </c>
      <c r="G75" s="3">
        <v>0</v>
      </c>
      <c r="H75" s="3">
        <v>0</v>
      </c>
      <c r="I75" s="3">
        <v>0</v>
      </c>
      <c r="J75" s="3">
        <v>4.3686999999999996</v>
      </c>
      <c r="K75" s="2" t="s">
        <v>25</v>
      </c>
      <c r="L75" s="3">
        <v>1.0062500000000001</v>
      </c>
    </row>
    <row r="76" spans="1:12" ht="15.75" customHeight="1">
      <c r="A76" s="2" t="s">
        <v>24</v>
      </c>
      <c r="B76" s="3">
        <v>2.0125000000000002</v>
      </c>
      <c r="C76" s="2" t="s">
        <v>18</v>
      </c>
      <c r="D76" s="2" t="s">
        <v>14</v>
      </c>
      <c r="E76" s="3">
        <v>0</v>
      </c>
      <c r="F76" s="3">
        <v>-36.579000000000001</v>
      </c>
      <c r="G76" s="3">
        <v>0</v>
      </c>
      <c r="H76" s="3">
        <v>0</v>
      </c>
      <c r="I76" s="3">
        <v>0</v>
      </c>
      <c r="J76" s="3">
        <v>51.364699999999999</v>
      </c>
      <c r="K76" s="2" t="s">
        <v>25</v>
      </c>
      <c r="L76" s="3">
        <v>2.0125000000000002</v>
      </c>
    </row>
    <row r="77" spans="1:12" ht="15.75" customHeight="1">
      <c r="A77" s="2" t="s">
        <v>24</v>
      </c>
      <c r="B77" s="3">
        <v>3.0187499999999998</v>
      </c>
      <c r="C77" s="2" t="s">
        <v>18</v>
      </c>
      <c r="D77" s="2" t="s">
        <v>14</v>
      </c>
      <c r="E77" s="3">
        <v>0</v>
      </c>
      <c r="F77" s="3">
        <v>-16.327999999999999</v>
      </c>
      <c r="G77" s="3">
        <v>0</v>
      </c>
      <c r="H77" s="3">
        <v>0</v>
      </c>
      <c r="I77" s="3">
        <v>0</v>
      </c>
      <c r="J77" s="3">
        <v>77.983400000000003</v>
      </c>
      <c r="K77" s="2" t="s">
        <v>25</v>
      </c>
      <c r="L77" s="3">
        <v>3.0187499999999998</v>
      </c>
    </row>
    <row r="78" spans="1:12" ht="15.75" customHeight="1">
      <c r="A78" s="2" t="s">
        <v>24</v>
      </c>
      <c r="B78" s="3">
        <v>4.0250000000000004</v>
      </c>
      <c r="C78" s="2" t="s">
        <v>18</v>
      </c>
      <c r="D78" s="2" t="s">
        <v>14</v>
      </c>
      <c r="E78" s="3">
        <v>0</v>
      </c>
      <c r="F78" s="3">
        <v>3.923</v>
      </c>
      <c r="G78" s="3">
        <v>0</v>
      </c>
      <c r="H78" s="3">
        <v>0</v>
      </c>
      <c r="I78" s="3">
        <v>0</v>
      </c>
      <c r="J78" s="3">
        <v>84.224699999999999</v>
      </c>
      <c r="K78" s="2" t="s">
        <v>25</v>
      </c>
      <c r="L78" s="3">
        <v>4.0250000000000004</v>
      </c>
    </row>
    <row r="79" spans="1:12" ht="15.75" customHeight="1">
      <c r="A79" s="2" t="s">
        <v>24</v>
      </c>
      <c r="B79" s="3">
        <v>5.03125</v>
      </c>
      <c r="C79" s="2" t="s">
        <v>18</v>
      </c>
      <c r="D79" s="2" t="s">
        <v>14</v>
      </c>
      <c r="E79" s="3">
        <v>0</v>
      </c>
      <c r="F79" s="3">
        <v>24.173999999999999</v>
      </c>
      <c r="G79" s="3">
        <v>0</v>
      </c>
      <c r="H79" s="3">
        <v>0</v>
      </c>
      <c r="I79" s="3">
        <v>0</v>
      </c>
      <c r="J79" s="3">
        <v>70.0886</v>
      </c>
      <c r="K79" s="2" t="s">
        <v>25</v>
      </c>
      <c r="L79" s="3">
        <v>5.03125</v>
      </c>
    </row>
    <row r="80" spans="1:12" ht="15.75" customHeight="1">
      <c r="A80" s="2" t="s">
        <v>24</v>
      </c>
      <c r="B80" s="3">
        <v>6.0374999999999996</v>
      </c>
      <c r="C80" s="2" t="s">
        <v>18</v>
      </c>
      <c r="D80" s="2" t="s">
        <v>14</v>
      </c>
      <c r="E80" s="3">
        <v>0</v>
      </c>
      <c r="F80" s="3">
        <v>44.423999999999999</v>
      </c>
      <c r="G80" s="3">
        <v>0</v>
      </c>
      <c r="H80" s="3">
        <v>0</v>
      </c>
      <c r="I80" s="3">
        <v>0</v>
      </c>
      <c r="J80" s="3">
        <v>35.575299999999999</v>
      </c>
      <c r="K80" s="2" t="s">
        <v>25</v>
      </c>
      <c r="L80" s="3">
        <v>6.0374999999999996</v>
      </c>
    </row>
    <row r="81" spans="1:12" ht="15.75" customHeight="1">
      <c r="A81" s="2" t="s">
        <v>24</v>
      </c>
      <c r="B81" s="3">
        <v>7.0437500000000002</v>
      </c>
      <c r="C81" s="2" t="s">
        <v>18</v>
      </c>
      <c r="D81" s="2" t="s">
        <v>14</v>
      </c>
      <c r="E81" s="3">
        <v>0</v>
      </c>
      <c r="F81" s="3">
        <v>64.674999999999997</v>
      </c>
      <c r="G81" s="3">
        <v>0</v>
      </c>
      <c r="H81" s="3">
        <v>0</v>
      </c>
      <c r="I81" s="3">
        <v>0</v>
      </c>
      <c r="J81" s="3">
        <v>-19.3155</v>
      </c>
      <c r="K81" s="2" t="s">
        <v>25</v>
      </c>
      <c r="L81" s="3">
        <v>7.0437500000000002</v>
      </c>
    </row>
    <row r="82" spans="1:12" ht="15.75" customHeight="1">
      <c r="A82" s="2" t="s">
        <v>24</v>
      </c>
      <c r="B82" s="3">
        <v>8.0500000000000007</v>
      </c>
      <c r="C82" s="2" t="s">
        <v>18</v>
      </c>
      <c r="D82" s="2" t="s">
        <v>14</v>
      </c>
      <c r="E82" s="3">
        <v>0</v>
      </c>
      <c r="F82" s="3">
        <v>84.926000000000002</v>
      </c>
      <c r="G82" s="3">
        <v>0</v>
      </c>
      <c r="H82" s="3">
        <v>0</v>
      </c>
      <c r="I82" s="3">
        <v>0</v>
      </c>
      <c r="J82" s="3">
        <v>-94.583600000000004</v>
      </c>
      <c r="K82" s="2" t="s">
        <v>25</v>
      </c>
      <c r="L82" s="3">
        <v>8.0500000000000007</v>
      </c>
    </row>
    <row r="83" spans="1:12" ht="15.75" customHeight="1">
      <c r="A83" s="2" t="s">
        <v>24</v>
      </c>
      <c r="B83" s="3">
        <v>0</v>
      </c>
      <c r="C83" s="2" t="s">
        <v>19</v>
      </c>
      <c r="D83" s="2" t="s">
        <v>14</v>
      </c>
      <c r="E83" s="3">
        <v>0</v>
      </c>
      <c r="F83" s="3">
        <v>5.1529999999999996</v>
      </c>
      <c r="G83" s="3">
        <v>0</v>
      </c>
      <c r="H83" s="3">
        <v>0</v>
      </c>
      <c r="I83" s="3">
        <v>0</v>
      </c>
      <c r="J83" s="3">
        <v>5.1230000000000002</v>
      </c>
      <c r="K83" s="2" t="s">
        <v>25</v>
      </c>
      <c r="L83" s="3">
        <v>0</v>
      </c>
    </row>
    <row r="84" spans="1:12" ht="15.75" customHeight="1">
      <c r="A84" s="2" t="s">
        <v>24</v>
      </c>
      <c r="B84" s="3">
        <v>1.0062500000000001</v>
      </c>
      <c r="C84" s="2" t="s">
        <v>19</v>
      </c>
      <c r="D84" s="2" t="s">
        <v>14</v>
      </c>
      <c r="E84" s="3">
        <v>0</v>
      </c>
      <c r="F84" s="3">
        <v>5.1529999999999996</v>
      </c>
      <c r="G84" s="3">
        <v>0</v>
      </c>
      <c r="H84" s="3">
        <v>0</v>
      </c>
      <c r="I84" s="3">
        <v>0</v>
      </c>
      <c r="J84" s="3">
        <v>-6.1899999999999997E-2</v>
      </c>
      <c r="K84" s="2" t="s">
        <v>25</v>
      </c>
      <c r="L84" s="3">
        <v>1.0062500000000001</v>
      </c>
    </row>
    <row r="85" spans="1:12" ht="15.75" customHeight="1">
      <c r="A85" s="2" t="s">
        <v>24</v>
      </c>
      <c r="B85" s="3">
        <v>2.0125000000000002</v>
      </c>
      <c r="C85" s="2" t="s">
        <v>19</v>
      </c>
      <c r="D85" s="2" t="s">
        <v>14</v>
      </c>
      <c r="E85" s="3">
        <v>0</v>
      </c>
      <c r="F85" s="3">
        <v>5.1529999999999996</v>
      </c>
      <c r="G85" s="3">
        <v>0</v>
      </c>
      <c r="H85" s="3">
        <v>0</v>
      </c>
      <c r="I85" s="3">
        <v>0</v>
      </c>
      <c r="J85" s="3">
        <v>-5.2468000000000004</v>
      </c>
      <c r="K85" s="2" t="s">
        <v>25</v>
      </c>
      <c r="L85" s="3">
        <v>2.0125000000000002</v>
      </c>
    </row>
    <row r="86" spans="1:12" ht="15.75" customHeight="1">
      <c r="A86" s="2" t="s">
        <v>24</v>
      </c>
      <c r="B86" s="3">
        <v>3.0187499999999998</v>
      </c>
      <c r="C86" s="2" t="s">
        <v>19</v>
      </c>
      <c r="D86" s="2" t="s">
        <v>14</v>
      </c>
      <c r="E86" s="3">
        <v>0</v>
      </c>
      <c r="F86" s="3">
        <v>5.1529999999999996</v>
      </c>
      <c r="G86" s="3">
        <v>0</v>
      </c>
      <c r="H86" s="3">
        <v>0</v>
      </c>
      <c r="I86" s="3">
        <v>0</v>
      </c>
      <c r="J86" s="3">
        <v>-10.431699999999999</v>
      </c>
      <c r="K86" s="2" t="s">
        <v>25</v>
      </c>
      <c r="L86" s="3">
        <v>3.0187499999999998</v>
      </c>
    </row>
    <row r="87" spans="1:12" ht="15.75" customHeight="1">
      <c r="A87" s="2" t="s">
        <v>24</v>
      </c>
      <c r="B87" s="3">
        <v>4.0250000000000004</v>
      </c>
      <c r="C87" s="2" t="s">
        <v>19</v>
      </c>
      <c r="D87" s="2" t="s">
        <v>14</v>
      </c>
      <c r="E87" s="3">
        <v>0</v>
      </c>
      <c r="F87" s="3">
        <v>5.1529999999999996</v>
      </c>
      <c r="G87" s="3">
        <v>0</v>
      </c>
      <c r="H87" s="3">
        <v>0</v>
      </c>
      <c r="I87" s="3">
        <v>0</v>
      </c>
      <c r="J87" s="3">
        <v>-15.6166</v>
      </c>
      <c r="K87" s="2" t="s">
        <v>25</v>
      </c>
      <c r="L87" s="3">
        <v>4.0250000000000004</v>
      </c>
    </row>
    <row r="88" spans="1:12" ht="15.75" customHeight="1">
      <c r="A88" s="2" t="s">
        <v>24</v>
      </c>
      <c r="B88" s="3">
        <v>5.03125</v>
      </c>
      <c r="C88" s="2" t="s">
        <v>19</v>
      </c>
      <c r="D88" s="2" t="s">
        <v>14</v>
      </c>
      <c r="E88" s="3">
        <v>0</v>
      </c>
      <c r="F88" s="3">
        <v>5.1529999999999996</v>
      </c>
      <c r="G88" s="3">
        <v>0</v>
      </c>
      <c r="H88" s="3">
        <v>0</v>
      </c>
      <c r="I88" s="3">
        <v>0</v>
      </c>
      <c r="J88" s="3">
        <v>-20.801500000000001</v>
      </c>
      <c r="K88" s="2" t="s">
        <v>25</v>
      </c>
      <c r="L88" s="3">
        <v>5.03125</v>
      </c>
    </row>
    <row r="89" spans="1:12" ht="15.75" customHeight="1">
      <c r="A89" s="2" t="s">
        <v>24</v>
      </c>
      <c r="B89" s="3">
        <v>6.0374999999999996</v>
      </c>
      <c r="C89" s="2" t="s">
        <v>19</v>
      </c>
      <c r="D89" s="2" t="s">
        <v>14</v>
      </c>
      <c r="E89" s="3">
        <v>0</v>
      </c>
      <c r="F89" s="3">
        <v>5.1529999999999996</v>
      </c>
      <c r="G89" s="3">
        <v>0</v>
      </c>
      <c r="H89" s="3">
        <v>0</v>
      </c>
      <c r="I89" s="3">
        <v>0</v>
      </c>
      <c r="J89" s="3">
        <v>-25.9864</v>
      </c>
      <c r="K89" s="2" t="s">
        <v>25</v>
      </c>
      <c r="L89" s="3">
        <v>6.0374999999999996</v>
      </c>
    </row>
    <row r="90" spans="1:12" ht="15.75" customHeight="1">
      <c r="A90" s="2" t="s">
        <v>24</v>
      </c>
      <c r="B90" s="3">
        <v>7.0437500000000002</v>
      </c>
      <c r="C90" s="2" t="s">
        <v>19</v>
      </c>
      <c r="D90" s="2" t="s">
        <v>14</v>
      </c>
      <c r="E90" s="3">
        <v>0</v>
      </c>
      <c r="F90" s="3">
        <v>5.1529999999999996</v>
      </c>
      <c r="G90" s="3">
        <v>0</v>
      </c>
      <c r="H90" s="3">
        <v>0</v>
      </c>
      <c r="I90" s="3">
        <v>0</v>
      </c>
      <c r="J90" s="3">
        <v>-31.171299999999999</v>
      </c>
      <c r="K90" s="2" t="s">
        <v>25</v>
      </c>
      <c r="L90" s="3">
        <v>7.0437500000000002</v>
      </c>
    </row>
    <row r="91" spans="1:12" ht="15.75" customHeight="1">
      <c r="A91" s="2" t="s">
        <v>24</v>
      </c>
      <c r="B91" s="3">
        <v>8.0500000000000007</v>
      </c>
      <c r="C91" s="2" t="s">
        <v>19</v>
      </c>
      <c r="D91" s="2" t="s">
        <v>14</v>
      </c>
      <c r="E91" s="3">
        <v>0</v>
      </c>
      <c r="F91" s="3">
        <v>5.1529999999999996</v>
      </c>
      <c r="G91" s="3">
        <v>0</v>
      </c>
      <c r="H91" s="3">
        <v>0</v>
      </c>
      <c r="I91" s="3">
        <v>0</v>
      </c>
      <c r="J91" s="3">
        <v>-36.356200000000001</v>
      </c>
      <c r="K91" s="2" t="s">
        <v>25</v>
      </c>
      <c r="L91" s="3">
        <v>8.0500000000000007</v>
      </c>
    </row>
    <row r="92" spans="1:12" ht="15.75" customHeight="1">
      <c r="A92" s="2" t="s">
        <v>26</v>
      </c>
      <c r="B92" s="3">
        <v>0</v>
      </c>
      <c r="C92" s="2" t="s">
        <v>13</v>
      </c>
      <c r="D92" s="2" t="s">
        <v>14</v>
      </c>
      <c r="E92" s="3">
        <v>0</v>
      </c>
      <c r="F92" s="3">
        <v>18.693999999999999</v>
      </c>
      <c r="G92" s="3">
        <v>0</v>
      </c>
      <c r="H92" s="3">
        <v>0</v>
      </c>
      <c r="I92" s="3">
        <v>0</v>
      </c>
      <c r="J92" s="3">
        <v>64.579499999999996</v>
      </c>
      <c r="K92" s="2" t="s">
        <v>27</v>
      </c>
      <c r="L92" s="3">
        <v>0</v>
      </c>
    </row>
    <row r="93" spans="1:12" ht="15.75" customHeight="1">
      <c r="A93" s="2" t="s">
        <v>26</v>
      </c>
      <c r="B93" s="3">
        <v>1.0062500000000001</v>
      </c>
      <c r="C93" s="2" t="s">
        <v>13</v>
      </c>
      <c r="D93" s="2" t="s">
        <v>14</v>
      </c>
      <c r="E93" s="3">
        <v>0</v>
      </c>
      <c r="F93" s="3">
        <v>18.693999999999999</v>
      </c>
      <c r="G93" s="3">
        <v>0</v>
      </c>
      <c r="H93" s="3">
        <v>0</v>
      </c>
      <c r="I93" s="3">
        <v>0</v>
      </c>
      <c r="J93" s="3">
        <v>45.768900000000002</v>
      </c>
      <c r="K93" s="2" t="s">
        <v>27</v>
      </c>
      <c r="L93" s="3">
        <v>1.0062500000000001</v>
      </c>
    </row>
    <row r="94" spans="1:12" ht="15.75" customHeight="1">
      <c r="A94" s="2" t="s">
        <v>26</v>
      </c>
      <c r="B94" s="3">
        <v>2.0125000000000002</v>
      </c>
      <c r="C94" s="2" t="s">
        <v>13</v>
      </c>
      <c r="D94" s="2" t="s">
        <v>14</v>
      </c>
      <c r="E94" s="3">
        <v>0</v>
      </c>
      <c r="F94" s="3">
        <v>18.693999999999999</v>
      </c>
      <c r="G94" s="3">
        <v>0</v>
      </c>
      <c r="H94" s="3">
        <v>0</v>
      </c>
      <c r="I94" s="3">
        <v>0</v>
      </c>
      <c r="J94" s="3">
        <v>26.958400000000001</v>
      </c>
      <c r="K94" s="2" t="s">
        <v>27</v>
      </c>
      <c r="L94" s="3">
        <v>2.0125000000000002</v>
      </c>
    </row>
    <row r="95" spans="1:12" ht="15.75" customHeight="1">
      <c r="A95" s="2" t="s">
        <v>26</v>
      </c>
      <c r="B95" s="3">
        <v>3.0187499999999998</v>
      </c>
      <c r="C95" s="2" t="s">
        <v>13</v>
      </c>
      <c r="D95" s="2" t="s">
        <v>14</v>
      </c>
      <c r="E95" s="3">
        <v>0</v>
      </c>
      <c r="F95" s="3">
        <v>18.693999999999999</v>
      </c>
      <c r="G95" s="3">
        <v>0</v>
      </c>
      <c r="H95" s="3">
        <v>0</v>
      </c>
      <c r="I95" s="3">
        <v>0</v>
      </c>
      <c r="J95" s="3">
        <v>8.1478999999999999</v>
      </c>
      <c r="K95" s="2" t="s">
        <v>27</v>
      </c>
      <c r="L95" s="3">
        <v>3.0187499999999998</v>
      </c>
    </row>
    <row r="96" spans="1:12" ht="15.75" customHeight="1">
      <c r="A96" s="2" t="s">
        <v>26</v>
      </c>
      <c r="B96" s="3">
        <v>4.0250000000000004</v>
      </c>
      <c r="C96" s="2" t="s">
        <v>13</v>
      </c>
      <c r="D96" s="2" t="s">
        <v>14</v>
      </c>
      <c r="E96" s="3">
        <v>0</v>
      </c>
      <c r="F96" s="3">
        <v>18.693999999999999</v>
      </c>
      <c r="G96" s="3">
        <v>0</v>
      </c>
      <c r="H96" s="3">
        <v>0</v>
      </c>
      <c r="I96" s="3">
        <v>0</v>
      </c>
      <c r="J96" s="3">
        <v>-10.662599999999999</v>
      </c>
      <c r="K96" s="2" t="s">
        <v>27</v>
      </c>
      <c r="L96" s="3">
        <v>4.0250000000000004</v>
      </c>
    </row>
    <row r="97" spans="1:12" ht="15.75" customHeight="1">
      <c r="A97" s="2" t="s">
        <v>26</v>
      </c>
      <c r="B97" s="3">
        <v>5.03125</v>
      </c>
      <c r="C97" s="2" t="s">
        <v>13</v>
      </c>
      <c r="D97" s="2" t="s">
        <v>14</v>
      </c>
      <c r="E97" s="3">
        <v>0</v>
      </c>
      <c r="F97" s="3">
        <v>18.693999999999999</v>
      </c>
      <c r="G97" s="3">
        <v>0</v>
      </c>
      <c r="H97" s="3">
        <v>0</v>
      </c>
      <c r="I97" s="3">
        <v>0</v>
      </c>
      <c r="J97" s="3">
        <v>-29.473199999999999</v>
      </c>
      <c r="K97" s="2" t="s">
        <v>27</v>
      </c>
      <c r="L97" s="3">
        <v>5.03125</v>
      </c>
    </row>
    <row r="98" spans="1:12" ht="15.75" customHeight="1">
      <c r="A98" s="2" t="s">
        <v>26</v>
      </c>
      <c r="B98" s="3">
        <v>6.0374999999999996</v>
      </c>
      <c r="C98" s="2" t="s">
        <v>13</v>
      </c>
      <c r="D98" s="2" t="s">
        <v>14</v>
      </c>
      <c r="E98" s="3">
        <v>0</v>
      </c>
      <c r="F98" s="3">
        <v>18.693999999999999</v>
      </c>
      <c r="G98" s="3">
        <v>0</v>
      </c>
      <c r="H98" s="3">
        <v>0</v>
      </c>
      <c r="I98" s="3">
        <v>0</v>
      </c>
      <c r="J98" s="3">
        <v>-48.283700000000003</v>
      </c>
      <c r="K98" s="2" t="s">
        <v>27</v>
      </c>
      <c r="L98" s="3">
        <v>6.0374999999999996</v>
      </c>
    </row>
    <row r="99" spans="1:12" ht="15.75" customHeight="1">
      <c r="A99" s="2" t="s">
        <v>26</v>
      </c>
      <c r="B99" s="3">
        <v>7.0437500000000002</v>
      </c>
      <c r="C99" s="2" t="s">
        <v>13</v>
      </c>
      <c r="D99" s="2" t="s">
        <v>14</v>
      </c>
      <c r="E99" s="3">
        <v>0</v>
      </c>
      <c r="F99" s="3">
        <v>18.693999999999999</v>
      </c>
      <c r="G99" s="3">
        <v>0</v>
      </c>
      <c r="H99" s="3">
        <v>0</v>
      </c>
      <c r="I99" s="3">
        <v>0</v>
      </c>
      <c r="J99" s="3">
        <v>-67.094200000000001</v>
      </c>
      <c r="K99" s="2" t="s">
        <v>27</v>
      </c>
      <c r="L99" s="3">
        <v>7.0437500000000002</v>
      </c>
    </row>
    <row r="100" spans="1:12" ht="15.75" customHeight="1">
      <c r="A100" s="2" t="s">
        <v>26</v>
      </c>
      <c r="B100" s="3">
        <v>8.0500000000000007</v>
      </c>
      <c r="C100" s="2" t="s">
        <v>13</v>
      </c>
      <c r="D100" s="2" t="s">
        <v>14</v>
      </c>
      <c r="E100" s="3">
        <v>0</v>
      </c>
      <c r="F100" s="3">
        <v>18.693999999999999</v>
      </c>
      <c r="G100" s="3">
        <v>0</v>
      </c>
      <c r="H100" s="3">
        <v>0</v>
      </c>
      <c r="I100" s="3">
        <v>0</v>
      </c>
      <c r="J100" s="3">
        <v>-85.904799999999994</v>
      </c>
      <c r="K100" s="2" t="s">
        <v>27</v>
      </c>
      <c r="L100" s="3">
        <v>8.0500000000000007</v>
      </c>
    </row>
    <row r="101" spans="1:12" ht="15.75" customHeight="1">
      <c r="A101" s="2" t="s">
        <v>26</v>
      </c>
      <c r="B101" s="3">
        <v>0</v>
      </c>
      <c r="C101" s="2" t="s">
        <v>16</v>
      </c>
      <c r="D101" s="2" t="s">
        <v>14</v>
      </c>
      <c r="E101" s="3">
        <v>0</v>
      </c>
      <c r="F101" s="3">
        <v>-10.212999999999999</v>
      </c>
      <c r="G101" s="3">
        <v>0</v>
      </c>
      <c r="H101" s="3">
        <v>0</v>
      </c>
      <c r="I101" s="3">
        <v>0</v>
      </c>
      <c r="J101" s="3">
        <v>-72.061999999999998</v>
      </c>
      <c r="K101" s="2" t="s">
        <v>27</v>
      </c>
      <c r="L101" s="3">
        <v>0</v>
      </c>
    </row>
    <row r="102" spans="1:12" ht="15.75" customHeight="1">
      <c r="A102" s="2" t="s">
        <v>26</v>
      </c>
      <c r="B102" s="3">
        <v>1.0062500000000001</v>
      </c>
      <c r="C102" s="2" t="s">
        <v>16</v>
      </c>
      <c r="D102" s="2" t="s">
        <v>14</v>
      </c>
      <c r="E102" s="3">
        <v>0</v>
      </c>
      <c r="F102" s="3">
        <v>-10.212999999999999</v>
      </c>
      <c r="G102" s="3">
        <v>0</v>
      </c>
      <c r="H102" s="3">
        <v>0</v>
      </c>
      <c r="I102" s="3">
        <v>0</v>
      </c>
      <c r="J102" s="3">
        <v>-61.784999999999997</v>
      </c>
      <c r="K102" s="2" t="s">
        <v>27</v>
      </c>
      <c r="L102" s="3">
        <v>1.0062500000000001</v>
      </c>
    </row>
    <row r="103" spans="1:12" ht="15.75" customHeight="1">
      <c r="A103" s="2" t="s">
        <v>26</v>
      </c>
      <c r="B103" s="3">
        <v>2.0125000000000002</v>
      </c>
      <c r="C103" s="2" t="s">
        <v>16</v>
      </c>
      <c r="D103" s="2" t="s">
        <v>14</v>
      </c>
      <c r="E103" s="3">
        <v>0</v>
      </c>
      <c r="F103" s="3">
        <v>-10.212999999999999</v>
      </c>
      <c r="G103" s="3">
        <v>0</v>
      </c>
      <c r="H103" s="3">
        <v>0</v>
      </c>
      <c r="I103" s="3">
        <v>0</v>
      </c>
      <c r="J103" s="3">
        <v>-51.507899999999999</v>
      </c>
      <c r="K103" s="2" t="s">
        <v>27</v>
      </c>
      <c r="L103" s="3">
        <v>2.0125000000000002</v>
      </c>
    </row>
    <row r="104" spans="1:12" ht="15.75" customHeight="1">
      <c r="A104" s="2" t="s">
        <v>26</v>
      </c>
      <c r="B104" s="3">
        <v>3.0187499999999998</v>
      </c>
      <c r="C104" s="2" t="s">
        <v>16</v>
      </c>
      <c r="D104" s="2" t="s">
        <v>14</v>
      </c>
      <c r="E104" s="3">
        <v>0</v>
      </c>
      <c r="F104" s="3">
        <v>-10.212999999999999</v>
      </c>
      <c r="G104" s="3">
        <v>0</v>
      </c>
      <c r="H104" s="3">
        <v>0</v>
      </c>
      <c r="I104" s="3">
        <v>0</v>
      </c>
      <c r="J104" s="3">
        <v>-41.230899999999998</v>
      </c>
      <c r="K104" s="2" t="s">
        <v>27</v>
      </c>
      <c r="L104" s="3">
        <v>3.0187499999999998</v>
      </c>
    </row>
    <row r="105" spans="1:12" ht="15.75" customHeight="1">
      <c r="A105" s="2" t="s">
        <v>26</v>
      </c>
      <c r="B105" s="3">
        <v>4.0250000000000004</v>
      </c>
      <c r="C105" s="2" t="s">
        <v>16</v>
      </c>
      <c r="D105" s="2" t="s">
        <v>14</v>
      </c>
      <c r="E105" s="3">
        <v>0</v>
      </c>
      <c r="F105" s="3">
        <v>-10.212999999999999</v>
      </c>
      <c r="G105" s="3">
        <v>0</v>
      </c>
      <c r="H105" s="3">
        <v>0</v>
      </c>
      <c r="I105" s="3">
        <v>0</v>
      </c>
      <c r="J105" s="3">
        <v>-30.953800000000001</v>
      </c>
      <c r="K105" s="2" t="s">
        <v>27</v>
      </c>
      <c r="L105" s="3">
        <v>4.0250000000000004</v>
      </c>
    </row>
    <row r="106" spans="1:12" ht="15.75" customHeight="1">
      <c r="A106" s="2" t="s">
        <v>26</v>
      </c>
      <c r="B106" s="3">
        <v>5.03125</v>
      </c>
      <c r="C106" s="2" t="s">
        <v>16</v>
      </c>
      <c r="D106" s="2" t="s">
        <v>14</v>
      </c>
      <c r="E106" s="3">
        <v>0</v>
      </c>
      <c r="F106" s="3">
        <v>-10.212999999999999</v>
      </c>
      <c r="G106" s="3">
        <v>0</v>
      </c>
      <c r="H106" s="3">
        <v>0</v>
      </c>
      <c r="I106" s="3">
        <v>0</v>
      </c>
      <c r="J106" s="3">
        <v>-20.6768</v>
      </c>
      <c r="K106" s="2" t="s">
        <v>27</v>
      </c>
      <c r="L106" s="3">
        <v>5.03125</v>
      </c>
    </row>
    <row r="107" spans="1:12" ht="15.75" customHeight="1">
      <c r="A107" s="2" t="s">
        <v>26</v>
      </c>
      <c r="B107" s="3">
        <v>6.0374999999999996</v>
      </c>
      <c r="C107" s="2" t="s">
        <v>16</v>
      </c>
      <c r="D107" s="2" t="s">
        <v>14</v>
      </c>
      <c r="E107" s="3">
        <v>0</v>
      </c>
      <c r="F107" s="3">
        <v>-10.212999999999999</v>
      </c>
      <c r="G107" s="3">
        <v>0</v>
      </c>
      <c r="H107" s="3">
        <v>0</v>
      </c>
      <c r="I107" s="3">
        <v>0</v>
      </c>
      <c r="J107" s="3">
        <v>-10.399800000000001</v>
      </c>
      <c r="K107" s="2" t="s">
        <v>27</v>
      </c>
      <c r="L107" s="3">
        <v>6.0374999999999996</v>
      </c>
    </row>
    <row r="108" spans="1:12" ht="15.75" customHeight="1">
      <c r="A108" s="2" t="s">
        <v>26</v>
      </c>
      <c r="B108" s="3">
        <v>7.0437500000000002</v>
      </c>
      <c r="C108" s="2" t="s">
        <v>16</v>
      </c>
      <c r="D108" s="2" t="s">
        <v>14</v>
      </c>
      <c r="E108" s="3">
        <v>0</v>
      </c>
      <c r="F108" s="3">
        <v>-10.212999999999999</v>
      </c>
      <c r="G108" s="3">
        <v>0</v>
      </c>
      <c r="H108" s="3">
        <v>0</v>
      </c>
      <c r="I108" s="3">
        <v>0</v>
      </c>
      <c r="J108" s="3">
        <v>-0.1227</v>
      </c>
      <c r="K108" s="2" t="s">
        <v>27</v>
      </c>
      <c r="L108" s="3">
        <v>7.0437500000000002</v>
      </c>
    </row>
    <row r="109" spans="1:12" ht="15.75" customHeight="1">
      <c r="A109" s="2" t="s">
        <v>26</v>
      </c>
      <c r="B109" s="3">
        <v>8.0500000000000007</v>
      </c>
      <c r="C109" s="2" t="s">
        <v>16</v>
      </c>
      <c r="D109" s="2" t="s">
        <v>14</v>
      </c>
      <c r="E109" s="3">
        <v>0</v>
      </c>
      <c r="F109" s="3">
        <v>-10.212999999999999</v>
      </c>
      <c r="G109" s="3">
        <v>0</v>
      </c>
      <c r="H109" s="3">
        <v>0</v>
      </c>
      <c r="I109" s="3">
        <v>0</v>
      </c>
      <c r="J109" s="3">
        <v>10.154299999999999</v>
      </c>
      <c r="K109" s="2" t="s">
        <v>27</v>
      </c>
      <c r="L109" s="3">
        <v>8.0500000000000007</v>
      </c>
    </row>
    <row r="110" spans="1:12" ht="15.75" customHeight="1">
      <c r="A110" s="2" t="s">
        <v>26</v>
      </c>
      <c r="B110" s="3">
        <v>0</v>
      </c>
      <c r="C110" s="2" t="s">
        <v>17</v>
      </c>
      <c r="D110" s="2" t="s">
        <v>14</v>
      </c>
      <c r="E110" s="3">
        <v>0</v>
      </c>
      <c r="F110" s="3">
        <v>-168.333</v>
      </c>
      <c r="G110" s="3">
        <v>0</v>
      </c>
      <c r="H110" s="3">
        <v>0</v>
      </c>
      <c r="I110" s="3">
        <v>0</v>
      </c>
      <c r="J110" s="3">
        <v>-187.4752</v>
      </c>
      <c r="K110" s="2" t="s">
        <v>27</v>
      </c>
      <c r="L110" s="3">
        <v>0</v>
      </c>
    </row>
    <row r="111" spans="1:12" ht="15.75" customHeight="1">
      <c r="A111" s="2" t="s">
        <v>26</v>
      </c>
      <c r="B111" s="3">
        <v>1.0062500000000001</v>
      </c>
      <c r="C111" s="2" t="s">
        <v>17</v>
      </c>
      <c r="D111" s="2" t="s">
        <v>14</v>
      </c>
      <c r="E111" s="3">
        <v>0</v>
      </c>
      <c r="F111" s="3">
        <v>-128.19300000000001</v>
      </c>
      <c r="G111" s="3">
        <v>0</v>
      </c>
      <c r="H111" s="3">
        <v>0</v>
      </c>
      <c r="I111" s="3">
        <v>0</v>
      </c>
      <c r="J111" s="3">
        <v>-38.285499999999999</v>
      </c>
      <c r="K111" s="2" t="s">
        <v>27</v>
      </c>
      <c r="L111" s="3">
        <v>1.0062500000000001</v>
      </c>
    </row>
    <row r="112" spans="1:12" ht="15.75" customHeight="1">
      <c r="A112" s="2" t="s">
        <v>26</v>
      </c>
      <c r="B112" s="3">
        <v>2.0125000000000002</v>
      </c>
      <c r="C112" s="2" t="s">
        <v>17</v>
      </c>
      <c r="D112" s="2" t="s">
        <v>14</v>
      </c>
      <c r="E112" s="3">
        <v>0</v>
      </c>
      <c r="F112" s="3">
        <v>-88.054000000000002</v>
      </c>
      <c r="G112" s="3">
        <v>0</v>
      </c>
      <c r="H112" s="3">
        <v>0</v>
      </c>
      <c r="I112" s="3">
        <v>0</v>
      </c>
      <c r="J112" s="3">
        <v>70.514099999999999</v>
      </c>
      <c r="K112" s="2" t="s">
        <v>27</v>
      </c>
      <c r="L112" s="3">
        <v>2.0125000000000002</v>
      </c>
    </row>
    <row r="113" spans="1:12" ht="15.75" customHeight="1">
      <c r="A113" s="2" t="s">
        <v>26</v>
      </c>
      <c r="B113" s="3">
        <v>3.0187499999999998</v>
      </c>
      <c r="C113" s="2" t="s">
        <v>17</v>
      </c>
      <c r="D113" s="2" t="s">
        <v>14</v>
      </c>
      <c r="E113" s="3">
        <v>0</v>
      </c>
      <c r="F113" s="3">
        <v>-47.914999999999999</v>
      </c>
      <c r="G113" s="3">
        <v>0</v>
      </c>
      <c r="H113" s="3">
        <v>0</v>
      </c>
      <c r="I113" s="3">
        <v>0</v>
      </c>
      <c r="J113" s="3">
        <v>138.92349999999999</v>
      </c>
      <c r="K113" s="2" t="s">
        <v>27</v>
      </c>
      <c r="L113" s="3">
        <v>3.0187499999999998</v>
      </c>
    </row>
    <row r="114" spans="1:12" ht="15.75" customHeight="1">
      <c r="A114" s="2" t="s">
        <v>26</v>
      </c>
      <c r="B114" s="3">
        <v>4.0250000000000004</v>
      </c>
      <c r="C114" s="2" t="s">
        <v>17</v>
      </c>
      <c r="D114" s="2" t="s">
        <v>14</v>
      </c>
      <c r="E114" s="3">
        <v>0</v>
      </c>
      <c r="F114" s="3">
        <v>-7.7759999999999998</v>
      </c>
      <c r="G114" s="3">
        <v>0</v>
      </c>
      <c r="H114" s="3">
        <v>0</v>
      </c>
      <c r="I114" s="3">
        <v>0</v>
      </c>
      <c r="J114" s="3">
        <v>166.9427</v>
      </c>
      <c r="K114" s="2" t="s">
        <v>27</v>
      </c>
      <c r="L114" s="3">
        <v>4.0250000000000004</v>
      </c>
    </row>
    <row r="115" spans="1:12" ht="15.75" customHeight="1">
      <c r="A115" s="2" t="s">
        <v>26</v>
      </c>
      <c r="B115" s="3">
        <v>5.03125</v>
      </c>
      <c r="C115" s="2" t="s">
        <v>17</v>
      </c>
      <c r="D115" s="2" t="s">
        <v>14</v>
      </c>
      <c r="E115" s="3">
        <v>0</v>
      </c>
      <c r="F115" s="3">
        <v>32.363999999999997</v>
      </c>
      <c r="G115" s="3">
        <v>0</v>
      </c>
      <c r="H115" s="3">
        <v>0</v>
      </c>
      <c r="I115" s="3">
        <v>0</v>
      </c>
      <c r="J115" s="3">
        <v>154.5718</v>
      </c>
      <c r="K115" s="2" t="s">
        <v>27</v>
      </c>
      <c r="L115" s="3">
        <v>5.03125</v>
      </c>
    </row>
    <row r="116" spans="1:12" ht="15.75" customHeight="1">
      <c r="A116" s="2" t="s">
        <v>26</v>
      </c>
      <c r="B116" s="3">
        <v>6.0374999999999996</v>
      </c>
      <c r="C116" s="2" t="s">
        <v>17</v>
      </c>
      <c r="D116" s="2" t="s">
        <v>14</v>
      </c>
      <c r="E116" s="3">
        <v>0</v>
      </c>
      <c r="F116" s="3">
        <v>72.503</v>
      </c>
      <c r="G116" s="3">
        <v>0</v>
      </c>
      <c r="H116" s="3">
        <v>0</v>
      </c>
      <c r="I116" s="3">
        <v>0</v>
      </c>
      <c r="J116" s="3">
        <v>101.81059999999999</v>
      </c>
      <c r="K116" s="2" t="s">
        <v>27</v>
      </c>
      <c r="L116" s="3">
        <v>6.0374999999999996</v>
      </c>
    </row>
    <row r="117" spans="1:12" ht="15.75" customHeight="1">
      <c r="A117" s="2" t="s">
        <v>26</v>
      </c>
      <c r="B117" s="3">
        <v>7.0437500000000002</v>
      </c>
      <c r="C117" s="2" t="s">
        <v>17</v>
      </c>
      <c r="D117" s="2" t="s">
        <v>14</v>
      </c>
      <c r="E117" s="3">
        <v>0</v>
      </c>
      <c r="F117" s="3">
        <v>112.642</v>
      </c>
      <c r="G117" s="3">
        <v>0</v>
      </c>
      <c r="H117" s="3">
        <v>0</v>
      </c>
      <c r="I117" s="3">
        <v>0</v>
      </c>
      <c r="J117" s="3">
        <v>8.6593</v>
      </c>
      <c r="K117" s="2" t="s">
        <v>27</v>
      </c>
      <c r="L117" s="3">
        <v>7.0437500000000002</v>
      </c>
    </row>
    <row r="118" spans="1:12" ht="15.75" customHeight="1">
      <c r="A118" s="2" t="s">
        <v>26</v>
      </c>
      <c r="B118" s="3">
        <v>8.0500000000000007</v>
      </c>
      <c r="C118" s="2" t="s">
        <v>17</v>
      </c>
      <c r="D118" s="2" t="s">
        <v>14</v>
      </c>
      <c r="E118" s="3">
        <v>0</v>
      </c>
      <c r="F118" s="3">
        <v>152.78200000000001</v>
      </c>
      <c r="G118" s="3">
        <v>0</v>
      </c>
      <c r="H118" s="3">
        <v>0</v>
      </c>
      <c r="I118" s="3">
        <v>0</v>
      </c>
      <c r="J118" s="3">
        <v>-124.8822</v>
      </c>
      <c r="K118" s="2" t="s">
        <v>27</v>
      </c>
      <c r="L118" s="3">
        <v>8.0500000000000007</v>
      </c>
    </row>
    <row r="119" spans="1:12" ht="15.75" customHeight="1">
      <c r="A119" s="2" t="s">
        <v>26</v>
      </c>
      <c r="B119" s="3">
        <v>0</v>
      </c>
      <c r="C119" s="2" t="s">
        <v>18</v>
      </c>
      <c r="D119" s="2" t="s">
        <v>14</v>
      </c>
      <c r="E119" s="3">
        <v>0</v>
      </c>
      <c r="F119" s="3">
        <v>-5.1529999999999996</v>
      </c>
      <c r="G119" s="3">
        <v>0</v>
      </c>
      <c r="H119" s="3">
        <v>0</v>
      </c>
      <c r="I119" s="3">
        <v>0</v>
      </c>
      <c r="J119" s="3">
        <v>-36.356200000000001</v>
      </c>
      <c r="K119" s="2" t="s">
        <v>27</v>
      </c>
      <c r="L119" s="3">
        <v>0</v>
      </c>
    </row>
    <row r="120" spans="1:12" ht="15.75" customHeight="1">
      <c r="A120" s="2" t="s">
        <v>26</v>
      </c>
      <c r="B120" s="3">
        <v>1.0062500000000001</v>
      </c>
      <c r="C120" s="2" t="s">
        <v>18</v>
      </c>
      <c r="D120" s="2" t="s">
        <v>14</v>
      </c>
      <c r="E120" s="3">
        <v>0</v>
      </c>
      <c r="F120" s="3">
        <v>-5.1529999999999996</v>
      </c>
      <c r="G120" s="3">
        <v>0</v>
      </c>
      <c r="H120" s="3">
        <v>0</v>
      </c>
      <c r="I120" s="3">
        <v>0</v>
      </c>
      <c r="J120" s="3">
        <v>-31.171299999999999</v>
      </c>
      <c r="K120" s="2" t="s">
        <v>27</v>
      </c>
      <c r="L120" s="3">
        <v>1.0062500000000001</v>
      </c>
    </row>
    <row r="121" spans="1:12" ht="15.75" customHeight="1">
      <c r="A121" s="2" t="s">
        <v>26</v>
      </c>
      <c r="B121" s="3">
        <v>2.0125000000000002</v>
      </c>
      <c r="C121" s="2" t="s">
        <v>18</v>
      </c>
      <c r="D121" s="2" t="s">
        <v>14</v>
      </c>
      <c r="E121" s="3">
        <v>0</v>
      </c>
      <c r="F121" s="3">
        <v>-5.1529999999999996</v>
      </c>
      <c r="G121" s="3">
        <v>0</v>
      </c>
      <c r="H121" s="3">
        <v>0</v>
      </c>
      <c r="I121" s="3">
        <v>0</v>
      </c>
      <c r="J121" s="3">
        <v>-25.9864</v>
      </c>
      <c r="K121" s="2" t="s">
        <v>27</v>
      </c>
      <c r="L121" s="3">
        <v>2.0125000000000002</v>
      </c>
    </row>
    <row r="122" spans="1:12" ht="15.75" customHeight="1">
      <c r="A122" s="2" t="s">
        <v>26</v>
      </c>
      <c r="B122" s="3">
        <v>3.0187499999999998</v>
      </c>
      <c r="C122" s="2" t="s">
        <v>18</v>
      </c>
      <c r="D122" s="2" t="s">
        <v>14</v>
      </c>
      <c r="E122" s="3">
        <v>0</v>
      </c>
      <c r="F122" s="3">
        <v>-5.1529999999999996</v>
      </c>
      <c r="G122" s="3">
        <v>0</v>
      </c>
      <c r="H122" s="3">
        <v>0</v>
      </c>
      <c r="I122" s="3">
        <v>0</v>
      </c>
      <c r="J122" s="3">
        <v>-20.801500000000001</v>
      </c>
      <c r="K122" s="2" t="s">
        <v>27</v>
      </c>
      <c r="L122" s="3">
        <v>3.0187499999999998</v>
      </c>
    </row>
    <row r="123" spans="1:12" ht="15.75" customHeight="1">
      <c r="A123" s="2" t="s">
        <v>26</v>
      </c>
      <c r="B123" s="3">
        <v>4.0250000000000004</v>
      </c>
      <c r="C123" s="2" t="s">
        <v>18</v>
      </c>
      <c r="D123" s="2" t="s">
        <v>14</v>
      </c>
      <c r="E123" s="3">
        <v>0</v>
      </c>
      <c r="F123" s="3">
        <v>-5.1529999999999996</v>
      </c>
      <c r="G123" s="3">
        <v>0</v>
      </c>
      <c r="H123" s="3">
        <v>0</v>
      </c>
      <c r="I123" s="3">
        <v>0</v>
      </c>
      <c r="J123" s="3">
        <v>-15.6166</v>
      </c>
      <c r="K123" s="2" t="s">
        <v>27</v>
      </c>
      <c r="L123" s="3">
        <v>4.0250000000000004</v>
      </c>
    </row>
    <row r="124" spans="1:12" ht="15.75" customHeight="1">
      <c r="A124" s="2" t="s">
        <v>26</v>
      </c>
      <c r="B124" s="3">
        <v>5.03125</v>
      </c>
      <c r="C124" s="2" t="s">
        <v>18</v>
      </c>
      <c r="D124" s="2" t="s">
        <v>14</v>
      </c>
      <c r="E124" s="3">
        <v>0</v>
      </c>
      <c r="F124" s="3">
        <v>-5.1529999999999996</v>
      </c>
      <c r="G124" s="3">
        <v>0</v>
      </c>
      <c r="H124" s="3">
        <v>0</v>
      </c>
      <c r="I124" s="3">
        <v>0</v>
      </c>
      <c r="J124" s="3">
        <v>-10.431699999999999</v>
      </c>
      <c r="K124" s="2" t="s">
        <v>27</v>
      </c>
      <c r="L124" s="3">
        <v>5.03125</v>
      </c>
    </row>
    <row r="125" spans="1:12" ht="15.75" customHeight="1">
      <c r="A125" s="2" t="s">
        <v>26</v>
      </c>
      <c r="B125" s="3">
        <v>6.0374999999999996</v>
      </c>
      <c r="C125" s="2" t="s">
        <v>18</v>
      </c>
      <c r="D125" s="2" t="s">
        <v>14</v>
      </c>
      <c r="E125" s="3">
        <v>0</v>
      </c>
      <c r="F125" s="3">
        <v>-5.1529999999999996</v>
      </c>
      <c r="G125" s="3">
        <v>0</v>
      </c>
      <c r="H125" s="3">
        <v>0</v>
      </c>
      <c r="I125" s="3">
        <v>0</v>
      </c>
      <c r="J125" s="3">
        <v>-5.2468000000000004</v>
      </c>
      <c r="K125" s="2" t="s">
        <v>27</v>
      </c>
      <c r="L125" s="3">
        <v>6.0374999999999996</v>
      </c>
    </row>
    <row r="126" spans="1:12" ht="15.75" customHeight="1">
      <c r="A126" s="2" t="s">
        <v>26</v>
      </c>
      <c r="B126" s="3">
        <v>7.0437500000000002</v>
      </c>
      <c r="C126" s="2" t="s">
        <v>18</v>
      </c>
      <c r="D126" s="2" t="s">
        <v>14</v>
      </c>
      <c r="E126" s="3">
        <v>0</v>
      </c>
      <c r="F126" s="3">
        <v>-5.1529999999999996</v>
      </c>
      <c r="G126" s="3">
        <v>0</v>
      </c>
      <c r="H126" s="3">
        <v>0</v>
      </c>
      <c r="I126" s="3">
        <v>0</v>
      </c>
      <c r="J126" s="3">
        <v>-6.1899999999999997E-2</v>
      </c>
      <c r="K126" s="2" t="s">
        <v>27</v>
      </c>
      <c r="L126" s="3">
        <v>7.0437500000000002</v>
      </c>
    </row>
    <row r="127" spans="1:12" ht="15.75" customHeight="1">
      <c r="A127" s="2" t="s">
        <v>26</v>
      </c>
      <c r="B127" s="3">
        <v>8.0500000000000007</v>
      </c>
      <c r="C127" s="2" t="s">
        <v>18</v>
      </c>
      <c r="D127" s="2" t="s">
        <v>14</v>
      </c>
      <c r="E127" s="3">
        <v>0</v>
      </c>
      <c r="F127" s="3">
        <v>-5.1529999999999996</v>
      </c>
      <c r="G127" s="3">
        <v>0</v>
      </c>
      <c r="H127" s="3">
        <v>0</v>
      </c>
      <c r="I127" s="3">
        <v>0</v>
      </c>
      <c r="J127" s="3">
        <v>5.1230000000000002</v>
      </c>
      <c r="K127" s="2" t="s">
        <v>27</v>
      </c>
      <c r="L127" s="3">
        <v>8.0500000000000007</v>
      </c>
    </row>
    <row r="128" spans="1:12" ht="15.75" customHeight="1">
      <c r="A128" s="2" t="s">
        <v>26</v>
      </c>
      <c r="B128" s="3">
        <v>0</v>
      </c>
      <c r="C128" s="2" t="s">
        <v>19</v>
      </c>
      <c r="D128" s="2" t="s">
        <v>14</v>
      </c>
      <c r="E128" s="3">
        <v>0</v>
      </c>
      <c r="F128" s="3">
        <v>-84.926000000000002</v>
      </c>
      <c r="G128" s="3">
        <v>0</v>
      </c>
      <c r="H128" s="3">
        <v>0</v>
      </c>
      <c r="I128" s="3">
        <v>0</v>
      </c>
      <c r="J128" s="3">
        <v>-94.583600000000004</v>
      </c>
      <c r="K128" s="2" t="s">
        <v>27</v>
      </c>
      <c r="L128" s="3">
        <v>0</v>
      </c>
    </row>
    <row r="129" spans="1:12" ht="15.75" customHeight="1">
      <c r="A129" s="2" t="s">
        <v>26</v>
      </c>
      <c r="B129" s="3">
        <v>1.0062500000000001</v>
      </c>
      <c r="C129" s="2" t="s">
        <v>19</v>
      </c>
      <c r="D129" s="2" t="s">
        <v>14</v>
      </c>
      <c r="E129" s="3">
        <v>0</v>
      </c>
      <c r="F129" s="3">
        <v>-64.674999999999997</v>
      </c>
      <c r="G129" s="3">
        <v>0</v>
      </c>
      <c r="H129" s="3">
        <v>0</v>
      </c>
      <c r="I129" s="3">
        <v>0</v>
      </c>
      <c r="J129" s="3">
        <v>-19.3155</v>
      </c>
      <c r="K129" s="2" t="s">
        <v>27</v>
      </c>
      <c r="L129" s="3">
        <v>1.0062500000000001</v>
      </c>
    </row>
    <row r="130" spans="1:12" ht="15.75" customHeight="1">
      <c r="A130" s="2" t="s">
        <v>26</v>
      </c>
      <c r="B130" s="3">
        <v>2.0125000000000002</v>
      </c>
      <c r="C130" s="2" t="s">
        <v>19</v>
      </c>
      <c r="D130" s="2" t="s">
        <v>14</v>
      </c>
      <c r="E130" s="3">
        <v>0</v>
      </c>
      <c r="F130" s="3">
        <v>-44.423999999999999</v>
      </c>
      <c r="G130" s="3">
        <v>0</v>
      </c>
      <c r="H130" s="3">
        <v>0</v>
      </c>
      <c r="I130" s="3">
        <v>0</v>
      </c>
      <c r="J130" s="3">
        <v>35.575299999999999</v>
      </c>
      <c r="K130" s="2" t="s">
        <v>27</v>
      </c>
      <c r="L130" s="3">
        <v>2.0125000000000002</v>
      </c>
    </row>
    <row r="131" spans="1:12" ht="15.75" customHeight="1">
      <c r="A131" s="2" t="s">
        <v>26</v>
      </c>
      <c r="B131" s="3">
        <v>3.0187499999999998</v>
      </c>
      <c r="C131" s="2" t="s">
        <v>19</v>
      </c>
      <c r="D131" s="2" t="s">
        <v>14</v>
      </c>
      <c r="E131" s="3">
        <v>0</v>
      </c>
      <c r="F131" s="3">
        <v>-24.173999999999999</v>
      </c>
      <c r="G131" s="3">
        <v>0</v>
      </c>
      <c r="H131" s="3">
        <v>0</v>
      </c>
      <c r="I131" s="3">
        <v>0</v>
      </c>
      <c r="J131" s="3">
        <v>70.0886</v>
      </c>
      <c r="K131" s="2" t="s">
        <v>27</v>
      </c>
      <c r="L131" s="3">
        <v>3.0187499999999998</v>
      </c>
    </row>
    <row r="132" spans="1:12" ht="15.75" customHeight="1">
      <c r="A132" s="2" t="s">
        <v>26</v>
      </c>
      <c r="B132" s="3">
        <v>4.0250000000000004</v>
      </c>
      <c r="C132" s="2" t="s">
        <v>19</v>
      </c>
      <c r="D132" s="2" t="s">
        <v>14</v>
      </c>
      <c r="E132" s="3">
        <v>0</v>
      </c>
      <c r="F132" s="3">
        <v>-3.923</v>
      </c>
      <c r="G132" s="3">
        <v>0</v>
      </c>
      <c r="H132" s="3">
        <v>0</v>
      </c>
      <c r="I132" s="3">
        <v>0</v>
      </c>
      <c r="J132" s="3">
        <v>84.224699999999999</v>
      </c>
      <c r="K132" s="2" t="s">
        <v>27</v>
      </c>
      <c r="L132" s="3">
        <v>4.0250000000000004</v>
      </c>
    </row>
    <row r="133" spans="1:12" ht="15.75" customHeight="1">
      <c r="A133" s="2" t="s">
        <v>26</v>
      </c>
      <c r="B133" s="3">
        <v>5.03125</v>
      </c>
      <c r="C133" s="2" t="s">
        <v>19</v>
      </c>
      <c r="D133" s="2" t="s">
        <v>14</v>
      </c>
      <c r="E133" s="3">
        <v>0</v>
      </c>
      <c r="F133" s="3">
        <v>16.327999999999999</v>
      </c>
      <c r="G133" s="3">
        <v>0</v>
      </c>
      <c r="H133" s="3">
        <v>0</v>
      </c>
      <c r="I133" s="3">
        <v>0</v>
      </c>
      <c r="J133" s="3">
        <v>77.983400000000003</v>
      </c>
      <c r="K133" s="2" t="s">
        <v>27</v>
      </c>
      <c r="L133" s="3">
        <v>5.03125</v>
      </c>
    </row>
    <row r="134" spans="1:12" ht="15.75" customHeight="1">
      <c r="A134" s="2" t="s">
        <v>26</v>
      </c>
      <c r="B134" s="3">
        <v>6.0374999999999996</v>
      </c>
      <c r="C134" s="2" t="s">
        <v>19</v>
      </c>
      <c r="D134" s="2" t="s">
        <v>14</v>
      </c>
      <c r="E134" s="3">
        <v>0</v>
      </c>
      <c r="F134" s="3">
        <v>36.579000000000001</v>
      </c>
      <c r="G134" s="3">
        <v>0</v>
      </c>
      <c r="H134" s="3">
        <v>0</v>
      </c>
      <c r="I134" s="3">
        <v>0</v>
      </c>
      <c r="J134" s="3">
        <v>51.364699999999999</v>
      </c>
      <c r="K134" s="2" t="s">
        <v>27</v>
      </c>
      <c r="L134" s="3">
        <v>6.0374999999999996</v>
      </c>
    </row>
    <row r="135" spans="1:12" ht="15.75" customHeight="1">
      <c r="A135" s="2" t="s">
        <v>26</v>
      </c>
      <c r="B135" s="3">
        <v>7.0437500000000002</v>
      </c>
      <c r="C135" s="2" t="s">
        <v>19</v>
      </c>
      <c r="D135" s="2" t="s">
        <v>14</v>
      </c>
      <c r="E135" s="3">
        <v>0</v>
      </c>
      <c r="F135" s="3">
        <v>56.829000000000001</v>
      </c>
      <c r="G135" s="3">
        <v>0</v>
      </c>
      <c r="H135" s="3">
        <v>0</v>
      </c>
      <c r="I135" s="3">
        <v>0</v>
      </c>
      <c r="J135" s="3">
        <v>4.3686999999999996</v>
      </c>
      <c r="K135" s="2" t="s">
        <v>27</v>
      </c>
      <c r="L135" s="3">
        <v>7.0437500000000002</v>
      </c>
    </row>
    <row r="136" spans="1:12" ht="15.75" customHeight="1">
      <c r="A136" s="2" t="s">
        <v>26</v>
      </c>
      <c r="B136" s="3">
        <v>8.0500000000000007</v>
      </c>
      <c r="C136" s="2" t="s">
        <v>19</v>
      </c>
      <c r="D136" s="2" t="s">
        <v>14</v>
      </c>
      <c r="E136" s="3">
        <v>0</v>
      </c>
      <c r="F136" s="3">
        <v>77.08</v>
      </c>
      <c r="G136" s="3">
        <v>0</v>
      </c>
      <c r="H136" s="3">
        <v>0</v>
      </c>
      <c r="I136" s="3">
        <v>0</v>
      </c>
      <c r="J136" s="3">
        <v>-63.004600000000003</v>
      </c>
      <c r="K136" s="2" t="s">
        <v>27</v>
      </c>
      <c r="L136" s="3">
        <v>8.0500000000000007</v>
      </c>
    </row>
    <row r="137" spans="1:12" ht="15.75" customHeight="1">
      <c r="A137" s="2"/>
      <c r="B137" s="3"/>
      <c r="C137" s="2"/>
      <c r="D137" s="2"/>
      <c r="E137" s="3"/>
      <c r="F137" s="3"/>
      <c r="G137" s="3"/>
      <c r="H137" s="3"/>
      <c r="I137" s="3"/>
      <c r="J137" s="3"/>
      <c r="K137" s="2"/>
      <c r="L137" s="3"/>
    </row>
    <row r="138" spans="1:12" ht="15.75" customHeight="1">
      <c r="A138" s="2"/>
      <c r="B138" s="3"/>
      <c r="C138" s="2"/>
      <c r="D138" s="2"/>
      <c r="E138" s="3"/>
      <c r="F138" s="3"/>
      <c r="G138" s="3"/>
      <c r="H138" s="3"/>
      <c r="I138" s="3"/>
      <c r="J138" s="3"/>
      <c r="K138" s="2"/>
      <c r="L138" s="3"/>
    </row>
    <row r="139" spans="1:12" ht="15.75" customHeight="1">
      <c r="A139" s="2"/>
      <c r="B139" s="3"/>
      <c r="C139" s="2"/>
      <c r="D139" s="2"/>
      <c r="E139" s="3"/>
      <c r="F139" s="3"/>
      <c r="G139" s="3"/>
      <c r="H139" s="3"/>
      <c r="I139" s="3"/>
      <c r="J139" s="3"/>
      <c r="K139" s="2"/>
      <c r="L139" s="3"/>
    </row>
    <row r="140" spans="1:12" ht="15.75" customHeight="1">
      <c r="A140" s="2"/>
      <c r="B140" s="3"/>
      <c r="C140" s="2"/>
      <c r="D140" s="2"/>
      <c r="E140" s="3"/>
      <c r="F140" s="3"/>
      <c r="G140" s="3"/>
      <c r="H140" s="3"/>
      <c r="I140" s="3"/>
      <c r="J140" s="3"/>
      <c r="K140" s="2"/>
      <c r="L140" s="3"/>
    </row>
    <row r="141" spans="1:12" ht="15.75" customHeight="1">
      <c r="A141" s="2"/>
      <c r="B141" s="3"/>
      <c r="C141" s="2"/>
      <c r="D141" s="2"/>
      <c r="E141" s="3"/>
      <c r="F141" s="3"/>
      <c r="G141" s="3"/>
      <c r="H141" s="3"/>
      <c r="I141" s="3"/>
      <c r="J141" s="3"/>
      <c r="K141" s="2"/>
      <c r="L141" s="3"/>
    </row>
    <row r="142" spans="1:12" ht="15.75" customHeight="1">
      <c r="A142" s="2"/>
      <c r="B142" s="3"/>
      <c r="C142" s="2"/>
      <c r="D142" s="2"/>
      <c r="E142" s="3"/>
      <c r="F142" s="3"/>
      <c r="G142" s="3"/>
      <c r="H142" s="3"/>
      <c r="I142" s="3"/>
      <c r="J142" s="3"/>
      <c r="K142" s="2"/>
      <c r="L142" s="3"/>
    </row>
    <row r="143" spans="1:12" ht="15.75" customHeight="1">
      <c r="A143" s="2"/>
      <c r="B143" s="3"/>
      <c r="C143" s="2"/>
      <c r="D143" s="2"/>
      <c r="E143" s="3"/>
      <c r="F143" s="3"/>
      <c r="G143" s="3"/>
      <c r="H143" s="3"/>
      <c r="I143" s="3"/>
      <c r="J143" s="3"/>
      <c r="K143" s="2"/>
      <c r="L143" s="3"/>
    </row>
    <row r="144" spans="1:12" ht="15.75" customHeight="1">
      <c r="A144" s="2"/>
      <c r="B144" s="3"/>
      <c r="C144" s="2"/>
      <c r="D144" s="2"/>
      <c r="E144" s="3"/>
      <c r="F144" s="3"/>
      <c r="G144" s="3"/>
      <c r="H144" s="3"/>
      <c r="I144" s="3"/>
      <c r="J144" s="3"/>
      <c r="K144" s="2"/>
      <c r="L144" s="3"/>
    </row>
    <row r="145" spans="1:12" ht="15.75" customHeight="1">
      <c r="A145" s="2"/>
      <c r="B145" s="3"/>
      <c r="C145" s="2"/>
      <c r="D145" s="2"/>
      <c r="E145" s="3"/>
      <c r="F145" s="3"/>
      <c r="G145" s="3"/>
      <c r="H145" s="3"/>
      <c r="I145" s="3"/>
      <c r="J145" s="3"/>
      <c r="K145" s="2"/>
      <c r="L145" s="3"/>
    </row>
    <row r="146" spans="1:12" ht="15.75" customHeight="1">
      <c r="A146" s="2"/>
      <c r="B146" s="3"/>
      <c r="C146" s="2"/>
      <c r="D146" s="2"/>
      <c r="E146" s="3"/>
      <c r="F146" s="3"/>
      <c r="G146" s="3"/>
      <c r="H146" s="3"/>
      <c r="I146" s="3"/>
      <c r="J146" s="3"/>
      <c r="K146" s="2"/>
      <c r="L146" s="3"/>
    </row>
    <row r="147" spans="1:12" ht="15.75" customHeight="1">
      <c r="A147" s="2"/>
      <c r="B147" s="3"/>
      <c r="C147" s="2"/>
      <c r="D147" s="2"/>
      <c r="E147" s="3"/>
      <c r="F147" s="3"/>
      <c r="G147" s="3"/>
      <c r="H147" s="3"/>
      <c r="I147" s="3"/>
      <c r="J147" s="3"/>
      <c r="K147" s="2"/>
      <c r="L147" s="3"/>
    </row>
    <row r="148" spans="1:12" ht="15.75" customHeight="1">
      <c r="A148" s="2"/>
      <c r="B148" s="3"/>
      <c r="C148" s="2"/>
      <c r="D148" s="2"/>
      <c r="E148" s="3"/>
      <c r="F148" s="3"/>
      <c r="G148" s="3"/>
      <c r="H148" s="3"/>
      <c r="I148" s="3"/>
      <c r="J148" s="3"/>
      <c r="K148" s="2"/>
      <c r="L148" s="3"/>
    </row>
    <row r="149" spans="1:12" ht="15.75" customHeight="1">
      <c r="A149" s="2"/>
      <c r="B149" s="3"/>
      <c r="C149" s="2"/>
      <c r="D149" s="2"/>
      <c r="E149" s="3"/>
      <c r="F149" s="3"/>
      <c r="G149" s="3"/>
      <c r="H149" s="3"/>
      <c r="I149" s="3"/>
      <c r="J149" s="3"/>
      <c r="K149" s="2"/>
      <c r="L149" s="3"/>
    </row>
    <row r="150" spans="1:12" ht="15.75" customHeight="1">
      <c r="A150" s="2"/>
      <c r="B150" s="3"/>
      <c r="C150" s="2"/>
      <c r="D150" s="2"/>
      <c r="E150" s="3"/>
      <c r="F150" s="3"/>
      <c r="G150" s="3"/>
      <c r="H150" s="3"/>
      <c r="I150" s="3"/>
      <c r="J150" s="3"/>
      <c r="K150" s="2"/>
      <c r="L150" s="3"/>
    </row>
    <row r="151" spans="1:12" ht="15.75" customHeight="1">
      <c r="A151" s="2"/>
      <c r="B151" s="3"/>
      <c r="C151" s="2"/>
      <c r="D151" s="2"/>
      <c r="E151" s="3"/>
      <c r="F151" s="3"/>
      <c r="G151" s="3"/>
      <c r="H151" s="3"/>
      <c r="I151" s="3"/>
      <c r="J151" s="3"/>
      <c r="K151" s="2"/>
      <c r="L151" s="3"/>
    </row>
    <row r="152" spans="1:12" ht="15.75" customHeight="1">
      <c r="A152" s="2"/>
      <c r="B152" s="3"/>
      <c r="C152" s="2"/>
      <c r="D152" s="2"/>
      <c r="E152" s="3"/>
      <c r="F152" s="3"/>
      <c r="G152" s="3"/>
      <c r="H152" s="3"/>
      <c r="I152" s="3"/>
      <c r="J152" s="3"/>
      <c r="K152" s="2"/>
      <c r="L152" s="3"/>
    </row>
    <row r="153" spans="1:12" ht="15.75" customHeight="1">
      <c r="A153" s="2"/>
      <c r="B153" s="3"/>
      <c r="C153" s="2"/>
      <c r="D153" s="2"/>
      <c r="E153" s="3"/>
      <c r="F153" s="3"/>
      <c r="G153" s="3"/>
      <c r="H153" s="3"/>
      <c r="I153" s="3"/>
      <c r="J153" s="3"/>
      <c r="K153" s="2"/>
      <c r="L153" s="3"/>
    </row>
    <row r="154" spans="1:12" ht="15.75" customHeight="1">
      <c r="A154" s="2"/>
      <c r="B154" s="3"/>
      <c r="C154" s="2"/>
      <c r="D154" s="2"/>
      <c r="E154" s="3"/>
      <c r="F154" s="3"/>
      <c r="G154" s="3"/>
      <c r="H154" s="3"/>
      <c r="I154" s="3"/>
      <c r="J154" s="3"/>
      <c r="K154" s="2"/>
      <c r="L154" s="3"/>
    </row>
    <row r="155" spans="1:12" ht="15.75" customHeight="1">
      <c r="A155" s="2"/>
      <c r="B155" s="3"/>
      <c r="C155" s="2"/>
      <c r="D155" s="2"/>
      <c r="E155" s="3"/>
      <c r="F155" s="3"/>
      <c r="G155" s="3"/>
      <c r="H155" s="3"/>
      <c r="I155" s="3"/>
      <c r="J155" s="3"/>
      <c r="K155" s="2"/>
      <c r="L155" s="3"/>
    </row>
    <row r="156" spans="1:12" ht="15.75" customHeight="1">
      <c r="A156" s="2"/>
      <c r="B156" s="3"/>
      <c r="C156" s="2"/>
      <c r="D156" s="2"/>
      <c r="E156" s="3"/>
      <c r="F156" s="3"/>
      <c r="G156" s="3"/>
      <c r="H156" s="3"/>
      <c r="I156" s="3"/>
      <c r="J156" s="3"/>
      <c r="K156" s="2"/>
      <c r="L156" s="3"/>
    </row>
    <row r="157" spans="1:12" ht="15.75" customHeight="1">
      <c r="A157" s="2"/>
      <c r="B157" s="3"/>
      <c r="C157" s="2"/>
      <c r="D157" s="2"/>
      <c r="E157" s="3"/>
      <c r="F157" s="3"/>
      <c r="G157" s="3"/>
      <c r="H157" s="3"/>
      <c r="I157" s="3"/>
      <c r="J157" s="3"/>
      <c r="K157" s="2"/>
      <c r="L157" s="3"/>
    </row>
    <row r="158" spans="1:12" ht="15.75" customHeight="1">
      <c r="A158" s="2"/>
      <c r="B158" s="3"/>
      <c r="C158" s="2"/>
      <c r="D158" s="2"/>
      <c r="E158" s="3"/>
      <c r="F158" s="3"/>
      <c r="G158" s="3"/>
      <c r="H158" s="3"/>
      <c r="I158" s="3"/>
      <c r="J158" s="3"/>
      <c r="K158" s="2"/>
      <c r="L158" s="3"/>
    </row>
    <row r="159" spans="1:12" ht="15.75" customHeight="1">
      <c r="A159" s="2"/>
      <c r="B159" s="3"/>
      <c r="C159" s="2"/>
      <c r="D159" s="2"/>
      <c r="E159" s="3"/>
      <c r="F159" s="3"/>
      <c r="G159" s="3"/>
      <c r="H159" s="3"/>
      <c r="I159" s="3"/>
      <c r="J159" s="3"/>
      <c r="K159" s="2"/>
      <c r="L159" s="3"/>
    </row>
    <row r="160" spans="1:12" ht="15.75" customHeight="1">
      <c r="A160" s="2"/>
      <c r="B160" s="3"/>
      <c r="C160" s="2"/>
      <c r="D160" s="2"/>
      <c r="E160" s="3"/>
      <c r="F160" s="3"/>
      <c r="G160" s="3"/>
      <c r="H160" s="3"/>
      <c r="I160" s="3"/>
      <c r="J160" s="3"/>
      <c r="K160" s="2"/>
      <c r="L160" s="3"/>
    </row>
    <row r="161" spans="1:12" ht="15.75" customHeight="1">
      <c r="A161" s="2"/>
      <c r="B161" s="3"/>
      <c r="C161" s="2"/>
      <c r="D161" s="2"/>
      <c r="E161" s="3"/>
      <c r="F161" s="3"/>
      <c r="G161" s="3"/>
      <c r="H161" s="3"/>
      <c r="I161" s="3"/>
      <c r="J161" s="3"/>
      <c r="K161" s="2"/>
      <c r="L161" s="3"/>
    </row>
    <row r="162" spans="1:12" ht="15.75" customHeight="1">
      <c r="A162" s="2"/>
      <c r="B162" s="3"/>
      <c r="C162" s="2"/>
      <c r="D162" s="2"/>
      <c r="E162" s="3"/>
      <c r="F162" s="3"/>
      <c r="G162" s="3"/>
      <c r="H162" s="3"/>
      <c r="I162" s="3"/>
      <c r="J162" s="3"/>
      <c r="K162" s="2"/>
      <c r="L162" s="3"/>
    </row>
    <row r="163" spans="1:12" ht="15.75" customHeight="1">
      <c r="A163" s="2"/>
      <c r="B163" s="3"/>
      <c r="C163" s="2"/>
      <c r="D163" s="2"/>
      <c r="E163" s="3"/>
      <c r="F163" s="3"/>
      <c r="G163" s="3"/>
      <c r="H163" s="3"/>
      <c r="I163" s="3"/>
      <c r="J163" s="3"/>
      <c r="K163" s="2"/>
      <c r="L163" s="3"/>
    </row>
    <row r="164" spans="1:12" ht="15.75" customHeight="1">
      <c r="A164" s="2"/>
      <c r="B164" s="3"/>
      <c r="C164" s="2"/>
      <c r="D164" s="2"/>
      <c r="E164" s="3"/>
      <c r="F164" s="3"/>
      <c r="G164" s="3"/>
      <c r="H164" s="3"/>
      <c r="I164" s="3"/>
      <c r="J164" s="3"/>
      <c r="K164" s="2"/>
      <c r="L164" s="3"/>
    </row>
    <row r="165" spans="1:12" ht="15.75" customHeight="1">
      <c r="A165" s="2"/>
      <c r="B165" s="3"/>
      <c r="C165" s="2"/>
      <c r="D165" s="2"/>
      <c r="E165" s="3"/>
      <c r="F165" s="3"/>
      <c r="G165" s="3"/>
      <c r="H165" s="3"/>
      <c r="I165" s="3"/>
      <c r="J165" s="3"/>
      <c r="K165" s="2"/>
      <c r="L165" s="3"/>
    </row>
    <row r="166" spans="1:12" ht="15.75" customHeight="1">
      <c r="A166" s="2"/>
      <c r="B166" s="3"/>
      <c r="C166" s="2"/>
      <c r="D166" s="2"/>
      <c r="E166" s="3"/>
      <c r="F166" s="3"/>
      <c r="G166" s="3"/>
      <c r="H166" s="3"/>
      <c r="I166" s="3"/>
      <c r="J166" s="3"/>
      <c r="K166" s="2"/>
      <c r="L166" s="3"/>
    </row>
    <row r="167" spans="1:12" ht="15.75" customHeight="1">
      <c r="A167" s="2"/>
      <c r="B167" s="3"/>
      <c r="C167" s="2"/>
      <c r="D167" s="2"/>
      <c r="E167" s="3"/>
      <c r="F167" s="3"/>
      <c r="G167" s="3"/>
      <c r="H167" s="3"/>
      <c r="I167" s="3"/>
      <c r="J167" s="3"/>
      <c r="K167" s="2"/>
      <c r="L167" s="3"/>
    </row>
    <row r="168" spans="1:12" ht="15.75" customHeight="1">
      <c r="A168" s="2"/>
      <c r="B168" s="3"/>
      <c r="C168" s="2"/>
      <c r="D168" s="2"/>
      <c r="E168" s="3"/>
      <c r="F168" s="3"/>
      <c r="G168" s="3"/>
      <c r="H168" s="3"/>
      <c r="I168" s="3"/>
      <c r="J168" s="3"/>
      <c r="K168" s="2"/>
      <c r="L168" s="3"/>
    </row>
    <row r="169" spans="1:12" ht="15.75" customHeight="1">
      <c r="A169" s="2"/>
      <c r="B169" s="3"/>
      <c r="C169" s="2"/>
      <c r="D169" s="2"/>
      <c r="E169" s="3"/>
      <c r="F169" s="3"/>
      <c r="G169" s="3"/>
      <c r="H169" s="3"/>
      <c r="I169" s="3"/>
      <c r="J169" s="3"/>
      <c r="K169" s="2"/>
      <c r="L169" s="3"/>
    </row>
    <row r="170" spans="1:12" ht="15.75" customHeight="1">
      <c r="A170" s="2"/>
      <c r="B170" s="3"/>
      <c r="C170" s="2"/>
      <c r="D170" s="2"/>
      <c r="E170" s="3"/>
      <c r="F170" s="3"/>
      <c r="G170" s="3"/>
      <c r="H170" s="3"/>
      <c r="I170" s="3"/>
      <c r="J170" s="3"/>
      <c r="K170" s="2"/>
      <c r="L170" s="3"/>
    </row>
    <row r="171" spans="1:12" ht="15.75" customHeight="1">
      <c r="A171" s="2"/>
      <c r="B171" s="3"/>
      <c r="C171" s="2"/>
      <c r="D171" s="2"/>
      <c r="E171" s="3"/>
      <c r="F171" s="3"/>
      <c r="G171" s="3"/>
      <c r="H171" s="3"/>
      <c r="I171" s="3"/>
      <c r="J171" s="3"/>
      <c r="K171" s="2"/>
      <c r="L171" s="3"/>
    </row>
    <row r="172" spans="1:12" ht="15.75" customHeight="1">
      <c r="A172" s="2"/>
      <c r="B172" s="3"/>
      <c r="C172" s="2"/>
      <c r="D172" s="2"/>
      <c r="E172" s="3"/>
      <c r="F172" s="3"/>
      <c r="G172" s="3"/>
      <c r="H172" s="3"/>
      <c r="I172" s="3"/>
      <c r="J172" s="3"/>
      <c r="K172" s="2"/>
      <c r="L172" s="3"/>
    </row>
    <row r="173" spans="1:12" ht="15.75" customHeight="1">
      <c r="A173" s="2"/>
      <c r="B173" s="3"/>
      <c r="C173" s="2"/>
      <c r="D173" s="2"/>
      <c r="E173" s="3"/>
      <c r="F173" s="3"/>
      <c r="G173" s="3"/>
      <c r="H173" s="3"/>
      <c r="I173" s="3"/>
      <c r="J173" s="3"/>
      <c r="K173" s="2"/>
      <c r="L173" s="3"/>
    </row>
    <row r="174" spans="1:12" ht="15.75" customHeight="1">
      <c r="A174" s="2"/>
      <c r="B174" s="3"/>
      <c r="C174" s="2"/>
      <c r="D174" s="2"/>
      <c r="E174" s="3"/>
      <c r="F174" s="3"/>
      <c r="G174" s="3"/>
      <c r="H174" s="3"/>
      <c r="I174" s="3"/>
      <c r="J174" s="3"/>
      <c r="K174" s="2"/>
      <c r="L174" s="3"/>
    </row>
    <row r="175" spans="1:12" ht="15.75" customHeight="1">
      <c r="A175" s="2"/>
      <c r="B175" s="3"/>
      <c r="C175" s="2"/>
      <c r="D175" s="2"/>
      <c r="E175" s="3"/>
      <c r="F175" s="3"/>
      <c r="G175" s="3"/>
      <c r="H175" s="3"/>
      <c r="I175" s="3"/>
      <c r="J175" s="3"/>
      <c r="K175" s="2"/>
      <c r="L175" s="3"/>
    </row>
    <row r="176" spans="1:12" ht="15.75" customHeight="1">
      <c r="A176" s="2"/>
      <c r="B176" s="3"/>
      <c r="C176" s="2"/>
      <c r="D176" s="2"/>
      <c r="E176" s="3"/>
      <c r="F176" s="3"/>
      <c r="G176" s="3"/>
      <c r="H176" s="3"/>
      <c r="I176" s="3"/>
      <c r="J176" s="3"/>
      <c r="K176" s="2"/>
      <c r="L176" s="3"/>
    </row>
    <row r="177" spans="1:12" ht="15.75" customHeight="1">
      <c r="A177" s="2"/>
      <c r="B177" s="3"/>
      <c r="C177" s="2"/>
      <c r="D177" s="2"/>
      <c r="E177" s="3"/>
      <c r="F177" s="3"/>
      <c r="G177" s="3"/>
      <c r="H177" s="3"/>
      <c r="I177" s="3"/>
      <c r="J177" s="3"/>
      <c r="K177" s="2"/>
      <c r="L177" s="3"/>
    </row>
    <row r="178" spans="1:12" ht="15.75" customHeight="1">
      <c r="A178" s="2"/>
      <c r="B178" s="3"/>
      <c r="C178" s="2"/>
      <c r="D178" s="2"/>
      <c r="E178" s="3"/>
      <c r="F178" s="3"/>
      <c r="G178" s="3"/>
      <c r="H178" s="3"/>
      <c r="I178" s="3"/>
      <c r="J178" s="3"/>
      <c r="K178" s="2"/>
      <c r="L178" s="3"/>
    </row>
    <row r="179" spans="1:12" ht="15.75" customHeight="1">
      <c r="A179" s="2"/>
      <c r="B179" s="3"/>
      <c r="C179" s="2"/>
      <c r="D179" s="2"/>
      <c r="E179" s="3"/>
      <c r="F179" s="3"/>
      <c r="G179" s="3"/>
      <c r="H179" s="3"/>
      <c r="I179" s="3"/>
      <c r="J179" s="3"/>
      <c r="K179" s="2"/>
      <c r="L179" s="3"/>
    </row>
    <row r="180" spans="1:12" ht="15.75" customHeight="1">
      <c r="A180" s="2"/>
      <c r="B180" s="3"/>
      <c r="C180" s="2"/>
      <c r="D180" s="2"/>
      <c r="E180" s="3"/>
      <c r="F180" s="3"/>
      <c r="G180" s="3"/>
      <c r="H180" s="3"/>
      <c r="I180" s="3"/>
      <c r="J180" s="3"/>
      <c r="K180" s="2"/>
      <c r="L180" s="3"/>
    </row>
    <row r="181" spans="1:12" ht="15.75" customHeight="1">
      <c r="A181" s="2"/>
      <c r="B181" s="3"/>
      <c r="C181" s="2"/>
      <c r="D181" s="2"/>
      <c r="E181" s="3"/>
      <c r="F181" s="3"/>
      <c r="G181" s="3"/>
      <c r="H181" s="3"/>
      <c r="I181" s="3"/>
      <c r="J181" s="3"/>
      <c r="K181" s="2"/>
      <c r="L181" s="3"/>
    </row>
    <row r="182" spans="1:12" ht="15.75" customHeight="1"/>
    <row r="183" spans="1:12" ht="15.75" customHeight="1"/>
    <row r="184" spans="1:12" ht="15.75" customHeight="1"/>
    <row r="185" spans="1:12" ht="15.75" customHeight="1"/>
    <row r="186" spans="1:12" ht="15.75" customHeight="1"/>
    <row r="187" spans="1:12" ht="15.75" customHeight="1"/>
    <row r="188" spans="1:12" ht="15.75" customHeight="1"/>
    <row r="189" spans="1:12" ht="15.75" customHeight="1"/>
    <row r="190" spans="1:12" ht="15.75" customHeight="1"/>
    <row r="191" spans="1:12" ht="15.75" customHeight="1"/>
    <row r="192" spans="1:1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L1000"/>
  <sheetViews>
    <sheetView workbookViewId="0"/>
  </sheetViews>
  <sheetFormatPr defaultColWidth="14.42578125" defaultRowHeight="15" customHeight="1"/>
  <cols>
    <col min="1" max="1" width="8.7109375" customWidth="1"/>
    <col min="2" max="12" width="9.140625" style="5" customWidth="1"/>
    <col min="13" max="26" width="8.7109375" customWidth="1"/>
  </cols>
  <sheetData>
    <row r="1" spans="1:12">
      <c r="A1" s="4" t="str">
        <f>'SAP Results'!A1</f>
        <v>Frame</v>
      </c>
      <c r="B1" s="5" t="str">
        <f>'SAP Results'!B1</f>
        <v>Station</v>
      </c>
      <c r="C1" s="5" t="str">
        <f>'SAP Results'!C1</f>
        <v>OutputCase</v>
      </c>
      <c r="D1" s="5" t="str">
        <f>'SAP Results'!D1</f>
        <v>CaseType</v>
      </c>
      <c r="E1" s="5" t="str">
        <f>'SAP Results'!E1</f>
        <v>P</v>
      </c>
      <c r="F1" s="5" t="str">
        <f>'SAP Results'!F1</f>
        <v>V2</v>
      </c>
      <c r="G1" s="5" t="str">
        <f>'SAP Results'!G1</f>
        <v>V3</v>
      </c>
      <c r="H1" s="5" t="str">
        <f>'SAP Results'!H1</f>
        <v>T</v>
      </c>
      <c r="I1" s="5" t="str">
        <f>'SAP Results'!I1</f>
        <v>M2</v>
      </c>
      <c r="J1" s="5" t="str">
        <f>'SAP Results'!J1</f>
        <v>M3</v>
      </c>
      <c r="K1" s="5" t="str">
        <f>'SAP Results'!K1</f>
        <v>FrameElem</v>
      </c>
      <c r="L1" s="5" t="str">
        <f>'SAP Results'!L1</f>
        <v>ElemStation</v>
      </c>
    </row>
    <row r="2" spans="1:12" hidden="1">
      <c r="A2" s="6" t="str">
        <f>'SAP Results'!A2</f>
        <v>1</v>
      </c>
      <c r="B2" s="5">
        <f>'SAP Results'!B2</f>
        <v>0</v>
      </c>
      <c r="C2" s="5" t="str">
        <f>'SAP Results'!C2</f>
        <v>EX</v>
      </c>
      <c r="D2" s="5" t="str">
        <f>'SAP Results'!D2</f>
        <v>LinStatic</v>
      </c>
      <c r="E2" s="5">
        <f>'SAP Results'!E2</f>
        <v>18.693999999999999</v>
      </c>
      <c r="F2" s="5">
        <f>'SAP Results'!F2</f>
        <v>40.723999999999997</v>
      </c>
      <c r="G2" s="5">
        <f>'SAP Results'!G2</f>
        <v>0</v>
      </c>
      <c r="H2" s="5">
        <f>'SAP Results'!H2</f>
        <v>0</v>
      </c>
      <c r="I2" s="5">
        <f>'SAP Results'!I2</f>
        <v>0</v>
      </c>
      <c r="J2" s="5">
        <f>'SAP Results'!J2</f>
        <v>125.8599</v>
      </c>
      <c r="K2" s="5" t="str">
        <f>'SAP Results'!K2</f>
        <v>1-1</v>
      </c>
      <c r="L2" s="5">
        <f>'SAP Results'!L2</f>
        <v>0</v>
      </c>
    </row>
    <row r="3" spans="1:12" hidden="1">
      <c r="A3" s="6" t="str">
        <f>'SAP Results'!A3</f>
        <v>1</v>
      </c>
      <c r="B3" s="5">
        <f>'SAP Results'!B3</f>
        <v>2.6</v>
      </c>
      <c r="C3" s="5" t="str">
        <f>'SAP Results'!C3</f>
        <v>EX</v>
      </c>
      <c r="D3" s="5" t="str">
        <f>'SAP Results'!D3</f>
        <v>LinStatic</v>
      </c>
      <c r="E3" s="5">
        <f>'SAP Results'!E3</f>
        <v>18.693999999999999</v>
      </c>
      <c r="F3" s="5">
        <f>'SAP Results'!F3</f>
        <v>40.723999999999997</v>
      </c>
      <c r="G3" s="5">
        <f>'SAP Results'!G3</f>
        <v>0</v>
      </c>
      <c r="H3" s="5">
        <f>'SAP Results'!H3</f>
        <v>0</v>
      </c>
      <c r="I3" s="5">
        <f>'SAP Results'!I3</f>
        <v>0</v>
      </c>
      <c r="J3" s="5">
        <f>'SAP Results'!J3</f>
        <v>19.977599999999999</v>
      </c>
      <c r="K3" s="5" t="str">
        <f>'SAP Results'!K3</f>
        <v>1-1</v>
      </c>
      <c r="L3" s="5">
        <f>'SAP Results'!L3</f>
        <v>2.6</v>
      </c>
    </row>
    <row r="4" spans="1:12" hidden="1">
      <c r="A4" s="6" t="str">
        <f>'SAP Results'!A4</f>
        <v>1</v>
      </c>
      <c r="B4" s="5">
        <f>'SAP Results'!B4</f>
        <v>5.2</v>
      </c>
      <c r="C4" s="5" t="str">
        <f>'SAP Results'!C4</f>
        <v>EX</v>
      </c>
      <c r="D4" s="5" t="str">
        <f>'SAP Results'!D4</f>
        <v>LinStatic</v>
      </c>
      <c r="E4" s="5">
        <f>'SAP Results'!E4</f>
        <v>18.693999999999999</v>
      </c>
      <c r="F4" s="5">
        <f>'SAP Results'!F4</f>
        <v>40.723999999999997</v>
      </c>
      <c r="G4" s="5">
        <f>'SAP Results'!G4</f>
        <v>0</v>
      </c>
      <c r="H4" s="5">
        <f>'SAP Results'!H4</f>
        <v>0</v>
      </c>
      <c r="I4" s="5">
        <f>'SAP Results'!I4</f>
        <v>0</v>
      </c>
      <c r="J4" s="5">
        <f>'SAP Results'!J4</f>
        <v>-85.904799999999994</v>
      </c>
      <c r="K4" s="5" t="str">
        <f>'SAP Results'!K4</f>
        <v>1-1</v>
      </c>
      <c r="L4" s="5">
        <f>'SAP Results'!L4</f>
        <v>5.2</v>
      </c>
    </row>
    <row r="5" spans="1:12">
      <c r="A5" s="6" t="str">
        <f>'SAP Results'!A5</f>
        <v>1</v>
      </c>
      <c r="B5" s="5">
        <f>'SAP Results'!B5</f>
        <v>0</v>
      </c>
      <c r="C5" s="5" t="str">
        <f>'SAP Results'!C5</f>
        <v>G-1</v>
      </c>
      <c r="D5" s="5" t="str">
        <f>'SAP Results'!D5</f>
        <v>LinStatic</v>
      </c>
      <c r="E5" s="5">
        <f>'SAP Results'!E5</f>
        <v>-152.78200000000001</v>
      </c>
      <c r="F5" s="5">
        <f>'SAP Results'!F5</f>
        <v>-33.564999999999998</v>
      </c>
      <c r="G5" s="5">
        <f>'SAP Results'!G5</f>
        <v>0</v>
      </c>
      <c r="H5" s="5">
        <f>'SAP Results'!H5</f>
        <v>0</v>
      </c>
      <c r="I5" s="5">
        <f>'SAP Results'!I5</f>
        <v>0</v>
      </c>
      <c r="J5" s="5">
        <f>'SAP Results'!J5</f>
        <v>-49.655099999999997</v>
      </c>
      <c r="K5" s="5" t="str">
        <f>'SAP Results'!K5</f>
        <v>1-1</v>
      </c>
      <c r="L5" s="5">
        <f>'SAP Results'!L5</f>
        <v>0</v>
      </c>
    </row>
    <row r="6" spans="1:12">
      <c r="A6" s="6" t="str">
        <f>'SAP Results'!A6</f>
        <v>1</v>
      </c>
      <c r="B6" s="5">
        <f>'SAP Results'!B6</f>
        <v>2.6</v>
      </c>
      <c r="C6" s="5" t="str">
        <f>'SAP Results'!C6</f>
        <v>G-1</v>
      </c>
      <c r="D6" s="5" t="str">
        <f>'SAP Results'!D6</f>
        <v>LinStatic</v>
      </c>
      <c r="E6" s="5">
        <f>'SAP Results'!E6</f>
        <v>-152.78200000000001</v>
      </c>
      <c r="F6" s="5">
        <f>'SAP Results'!F6</f>
        <v>-33.564999999999998</v>
      </c>
      <c r="G6" s="5">
        <f>'SAP Results'!G6</f>
        <v>0</v>
      </c>
      <c r="H6" s="5">
        <f>'SAP Results'!H6</f>
        <v>0</v>
      </c>
      <c r="I6" s="5">
        <f>'SAP Results'!I6</f>
        <v>0</v>
      </c>
      <c r="J6" s="5">
        <f>'SAP Results'!J6</f>
        <v>37.613599999999998</v>
      </c>
      <c r="K6" s="5" t="str">
        <f>'SAP Results'!K6</f>
        <v>1-1</v>
      </c>
      <c r="L6" s="5">
        <f>'SAP Results'!L6</f>
        <v>2.6</v>
      </c>
    </row>
    <row r="7" spans="1:12">
      <c r="A7" s="6" t="str">
        <f>'SAP Results'!A7</f>
        <v>1</v>
      </c>
      <c r="B7" s="5">
        <f>'SAP Results'!B7</f>
        <v>5.2</v>
      </c>
      <c r="C7" s="5" t="str">
        <f>'SAP Results'!C7</f>
        <v>G-1</v>
      </c>
      <c r="D7" s="5" t="str">
        <f>'SAP Results'!D7</f>
        <v>LinStatic</v>
      </c>
      <c r="E7" s="5">
        <f>'SAP Results'!E7</f>
        <v>-152.78200000000001</v>
      </c>
      <c r="F7" s="5">
        <f>'SAP Results'!F7</f>
        <v>-33.564999999999998</v>
      </c>
      <c r="G7" s="5">
        <f>'SAP Results'!G7</f>
        <v>0</v>
      </c>
      <c r="H7" s="5">
        <f>'SAP Results'!H7</f>
        <v>0</v>
      </c>
      <c r="I7" s="5">
        <f>'SAP Results'!I7</f>
        <v>0</v>
      </c>
      <c r="J7" s="5">
        <f>'SAP Results'!J7</f>
        <v>124.8822</v>
      </c>
      <c r="K7" s="5" t="str">
        <f>'SAP Results'!K7</f>
        <v>1-1</v>
      </c>
      <c r="L7" s="5">
        <f>'SAP Results'!L7</f>
        <v>5.2</v>
      </c>
    </row>
    <row r="8" spans="1:12" hidden="1">
      <c r="A8" s="6" t="str">
        <f>'SAP Results'!A8</f>
        <v>1</v>
      </c>
      <c r="B8" s="5">
        <f>'SAP Results'!B8</f>
        <v>0</v>
      </c>
      <c r="C8" s="5" t="str">
        <f>'SAP Results'!C8</f>
        <v>G-2</v>
      </c>
      <c r="D8" s="5" t="str">
        <f>'SAP Results'!D8</f>
        <v>LinStatic</v>
      </c>
      <c r="E8" s="5">
        <f>'SAP Results'!E8</f>
        <v>10.212999999999999</v>
      </c>
      <c r="F8" s="5">
        <f>'SAP Results'!F8</f>
        <v>1.0249999999999999</v>
      </c>
      <c r="G8" s="5">
        <f>'SAP Results'!G8</f>
        <v>0</v>
      </c>
      <c r="H8" s="5">
        <f>'SAP Results'!H8</f>
        <v>0</v>
      </c>
      <c r="I8" s="5">
        <f>'SAP Results'!I8</f>
        <v>0</v>
      </c>
      <c r="J8" s="5">
        <f>'SAP Results'!J8</f>
        <v>-4.8253000000000004</v>
      </c>
      <c r="K8" s="5" t="str">
        <f>'SAP Results'!K8</f>
        <v>1-1</v>
      </c>
      <c r="L8" s="5">
        <f>'SAP Results'!L8</f>
        <v>0</v>
      </c>
    </row>
    <row r="9" spans="1:12" hidden="1">
      <c r="A9" s="6" t="str">
        <f>'SAP Results'!A9</f>
        <v>1</v>
      </c>
      <c r="B9" s="5">
        <f>'SAP Results'!B9</f>
        <v>2.6</v>
      </c>
      <c r="C9" s="5" t="str">
        <f>'SAP Results'!C9</f>
        <v>G-2</v>
      </c>
      <c r="D9" s="5" t="str">
        <f>'SAP Results'!D9</f>
        <v>LinStatic</v>
      </c>
      <c r="E9" s="5">
        <f>'SAP Results'!E9</f>
        <v>10.212999999999999</v>
      </c>
      <c r="F9" s="5">
        <f>'SAP Results'!F9</f>
        <v>1.0249999999999999</v>
      </c>
      <c r="G9" s="5">
        <f>'SAP Results'!G9</f>
        <v>0</v>
      </c>
      <c r="H9" s="5">
        <f>'SAP Results'!H9</f>
        <v>0</v>
      </c>
      <c r="I9" s="5">
        <f>'SAP Results'!I9</f>
        <v>0</v>
      </c>
      <c r="J9" s="5">
        <f>'SAP Results'!J9</f>
        <v>-7.4897999999999998</v>
      </c>
      <c r="K9" s="5" t="str">
        <f>'SAP Results'!K9</f>
        <v>1-1</v>
      </c>
      <c r="L9" s="5">
        <f>'SAP Results'!L9</f>
        <v>2.6</v>
      </c>
    </row>
    <row r="10" spans="1:12" hidden="1">
      <c r="A10" s="6" t="str">
        <f>'SAP Results'!A10</f>
        <v>1</v>
      </c>
      <c r="B10" s="5">
        <f>'SAP Results'!B10</f>
        <v>5.2</v>
      </c>
      <c r="C10" s="5" t="str">
        <f>'SAP Results'!C10</f>
        <v>G-2</v>
      </c>
      <c r="D10" s="5" t="str">
        <f>'SAP Results'!D10</f>
        <v>LinStatic</v>
      </c>
      <c r="E10" s="5">
        <f>'SAP Results'!E10</f>
        <v>10.212999999999999</v>
      </c>
      <c r="F10" s="5">
        <f>'SAP Results'!F10</f>
        <v>1.0249999999999999</v>
      </c>
      <c r="G10" s="5">
        <f>'SAP Results'!G10</f>
        <v>0</v>
      </c>
      <c r="H10" s="5">
        <f>'SAP Results'!H10</f>
        <v>0</v>
      </c>
      <c r="I10" s="5">
        <f>'SAP Results'!I10</f>
        <v>0</v>
      </c>
      <c r="J10" s="5">
        <f>'SAP Results'!J10</f>
        <v>-10.154299999999999</v>
      </c>
      <c r="K10" s="5" t="str">
        <f>'SAP Results'!K10</f>
        <v>1-1</v>
      </c>
      <c r="L10" s="5">
        <f>'SAP Results'!L10</f>
        <v>5.2</v>
      </c>
    </row>
    <row r="11" spans="1:12" hidden="1">
      <c r="A11" s="6" t="str">
        <f>'SAP Results'!A11</f>
        <v>1</v>
      </c>
      <c r="B11" s="5">
        <f>'SAP Results'!B11</f>
        <v>0</v>
      </c>
      <c r="C11" s="5" t="str">
        <f>'SAP Results'!C11</f>
        <v>Q-1</v>
      </c>
      <c r="D11" s="5" t="str">
        <f>'SAP Results'!D11</f>
        <v>LinStatic</v>
      </c>
      <c r="E11" s="5">
        <f>'SAP Results'!E11</f>
        <v>-77.08</v>
      </c>
      <c r="F11" s="5">
        <f>'SAP Results'!F11</f>
        <v>-16.934000000000001</v>
      </c>
      <c r="G11" s="5">
        <f>'SAP Results'!G11</f>
        <v>0</v>
      </c>
      <c r="H11" s="5">
        <f>'SAP Results'!H11</f>
        <v>0</v>
      </c>
      <c r="I11" s="5">
        <f>'SAP Results'!I11</f>
        <v>0</v>
      </c>
      <c r="J11" s="5">
        <f>'SAP Results'!J11</f>
        <v>-25.051600000000001</v>
      </c>
      <c r="K11" s="5" t="str">
        <f>'SAP Results'!K11</f>
        <v>1-1</v>
      </c>
      <c r="L11" s="5">
        <f>'SAP Results'!L11</f>
        <v>0</v>
      </c>
    </row>
    <row r="12" spans="1:12" hidden="1">
      <c r="A12" s="6" t="str">
        <f>'SAP Results'!A12</f>
        <v>1</v>
      </c>
      <c r="B12" s="5">
        <f>'SAP Results'!B12</f>
        <v>2.6</v>
      </c>
      <c r="C12" s="5" t="str">
        <f>'SAP Results'!C12</f>
        <v>Q-1</v>
      </c>
      <c r="D12" s="5" t="str">
        <f>'SAP Results'!D12</f>
        <v>LinStatic</v>
      </c>
      <c r="E12" s="5">
        <f>'SAP Results'!E12</f>
        <v>-77.08</v>
      </c>
      <c r="F12" s="5">
        <f>'SAP Results'!F12</f>
        <v>-16.934000000000001</v>
      </c>
      <c r="G12" s="5">
        <f>'SAP Results'!G12</f>
        <v>0</v>
      </c>
      <c r="H12" s="5">
        <f>'SAP Results'!H12</f>
        <v>0</v>
      </c>
      <c r="I12" s="5">
        <f>'SAP Results'!I12</f>
        <v>0</v>
      </c>
      <c r="J12" s="5">
        <f>'SAP Results'!J12</f>
        <v>18.976500000000001</v>
      </c>
      <c r="K12" s="5" t="str">
        <f>'SAP Results'!K12</f>
        <v>1-1</v>
      </c>
      <c r="L12" s="5">
        <f>'SAP Results'!L12</f>
        <v>2.6</v>
      </c>
    </row>
    <row r="13" spans="1:12" hidden="1">
      <c r="A13" s="6" t="str">
        <f>'SAP Results'!A13</f>
        <v>1</v>
      </c>
      <c r="B13" s="5">
        <f>'SAP Results'!B13</f>
        <v>5.2</v>
      </c>
      <c r="C13" s="5" t="str">
        <f>'SAP Results'!C13</f>
        <v>Q-1</v>
      </c>
      <c r="D13" s="5" t="str">
        <f>'SAP Results'!D13</f>
        <v>LinStatic</v>
      </c>
      <c r="E13" s="5">
        <f>'SAP Results'!E13</f>
        <v>-77.08</v>
      </c>
      <c r="F13" s="5">
        <f>'SAP Results'!F13</f>
        <v>-16.934000000000001</v>
      </c>
      <c r="G13" s="5">
        <f>'SAP Results'!G13</f>
        <v>0</v>
      </c>
      <c r="H13" s="5">
        <f>'SAP Results'!H13</f>
        <v>0</v>
      </c>
      <c r="I13" s="5">
        <f>'SAP Results'!I13</f>
        <v>0</v>
      </c>
      <c r="J13" s="5">
        <f>'SAP Results'!J13</f>
        <v>63.004600000000003</v>
      </c>
      <c r="K13" s="5" t="str">
        <f>'SAP Results'!K13</f>
        <v>1-1</v>
      </c>
      <c r="L13" s="5">
        <f>'SAP Results'!L13</f>
        <v>5.2</v>
      </c>
    </row>
    <row r="14" spans="1:12" hidden="1">
      <c r="A14" s="6" t="str">
        <f>'SAP Results'!A14</f>
        <v>1</v>
      </c>
      <c r="B14" s="5">
        <f>'SAP Results'!B14</f>
        <v>0</v>
      </c>
      <c r="C14" s="5" t="str">
        <f>'SAP Results'!C14</f>
        <v>Q-2</v>
      </c>
      <c r="D14" s="5" t="str">
        <f>'SAP Results'!D14</f>
        <v>LinStatic</v>
      </c>
      <c r="E14" s="5">
        <f>'SAP Results'!E14</f>
        <v>5.1529999999999996</v>
      </c>
      <c r="F14" s="5">
        <f>'SAP Results'!F14</f>
        <v>0.51700000000000002</v>
      </c>
      <c r="G14" s="5">
        <f>'SAP Results'!G14</f>
        <v>0</v>
      </c>
      <c r="H14" s="5">
        <f>'SAP Results'!H14</f>
        <v>0</v>
      </c>
      <c r="I14" s="5">
        <f>'SAP Results'!I14</f>
        <v>0</v>
      </c>
      <c r="J14" s="5">
        <f>'SAP Results'!J14</f>
        <v>-2.4344000000000001</v>
      </c>
      <c r="K14" s="5" t="str">
        <f>'SAP Results'!K14</f>
        <v>1-1</v>
      </c>
      <c r="L14" s="5">
        <f>'SAP Results'!L14</f>
        <v>0</v>
      </c>
    </row>
    <row r="15" spans="1:12" hidden="1">
      <c r="A15" s="6" t="str">
        <f>'SAP Results'!A15</f>
        <v>1</v>
      </c>
      <c r="B15" s="5">
        <f>'SAP Results'!B15</f>
        <v>2.6</v>
      </c>
      <c r="C15" s="5" t="str">
        <f>'SAP Results'!C15</f>
        <v>Q-2</v>
      </c>
      <c r="D15" s="5" t="str">
        <f>'SAP Results'!D15</f>
        <v>LinStatic</v>
      </c>
      <c r="E15" s="5">
        <f>'SAP Results'!E15</f>
        <v>5.1529999999999996</v>
      </c>
      <c r="F15" s="5">
        <f>'SAP Results'!F15</f>
        <v>0.51700000000000002</v>
      </c>
      <c r="G15" s="5">
        <f>'SAP Results'!G15</f>
        <v>0</v>
      </c>
      <c r="H15" s="5">
        <f>'SAP Results'!H15</f>
        <v>0</v>
      </c>
      <c r="I15" s="5">
        <f>'SAP Results'!I15</f>
        <v>0</v>
      </c>
      <c r="J15" s="5">
        <f>'SAP Results'!J15</f>
        <v>-3.7787000000000002</v>
      </c>
      <c r="K15" s="5" t="str">
        <f>'SAP Results'!K15</f>
        <v>1-1</v>
      </c>
      <c r="L15" s="5">
        <f>'SAP Results'!L15</f>
        <v>2.6</v>
      </c>
    </row>
    <row r="16" spans="1:12" hidden="1">
      <c r="A16" s="6" t="str">
        <f>'SAP Results'!A16</f>
        <v>1</v>
      </c>
      <c r="B16" s="5">
        <f>'SAP Results'!B16</f>
        <v>5.2</v>
      </c>
      <c r="C16" s="5" t="str">
        <f>'SAP Results'!C16</f>
        <v>Q-2</v>
      </c>
      <c r="D16" s="5" t="str">
        <f>'SAP Results'!D16</f>
        <v>LinStatic</v>
      </c>
      <c r="E16" s="5">
        <f>'SAP Results'!E16</f>
        <v>5.1529999999999996</v>
      </c>
      <c r="F16" s="5">
        <f>'SAP Results'!F16</f>
        <v>0.51700000000000002</v>
      </c>
      <c r="G16" s="5">
        <f>'SAP Results'!G16</f>
        <v>0</v>
      </c>
      <c r="H16" s="5">
        <f>'SAP Results'!H16</f>
        <v>0</v>
      </c>
      <c r="I16" s="5">
        <f>'SAP Results'!I16</f>
        <v>0</v>
      </c>
      <c r="J16" s="5">
        <f>'SAP Results'!J16</f>
        <v>-5.1230000000000002</v>
      </c>
      <c r="K16" s="5" t="str">
        <f>'SAP Results'!K16</f>
        <v>1-1</v>
      </c>
      <c r="L16" s="5">
        <f>'SAP Results'!L16</f>
        <v>5.2</v>
      </c>
    </row>
    <row r="17" spans="1:12" hidden="1">
      <c r="A17" s="6" t="str">
        <f>'SAP Results'!A17</f>
        <v>2</v>
      </c>
      <c r="B17" s="5">
        <f>'SAP Results'!B17</f>
        <v>0</v>
      </c>
      <c r="C17" s="5" t="str">
        <f>'SAP Results'!C17</f>
        <v>EX</v>
      </c>
      <c r="D17" s="5" t="str">
        <f>'SAP Results'!D17</f>
        <v>LinStatic</v>
      </c>
      <c r="E17" s="5">
        <f>'SAP Results'!E17</f>
        <v>6.5729999999999995E-16</v>
      </c>
      <c r="F17" s="5">
        <f>'SAP Results'!F17</f>
        <v>52.991999999999997</v>
      </c>
      <c r="G17" s="5">
        <f>'SAP Results'!G17</f>
        <v>0</v>
      </c>
      <c r="H17" s="5">
        <f>'SAP Results'!H17</f>
        <v>0</v>
      </c>
      <c r="I17" s="5">
        <f>'SAP Results'!I17</f>
        <v>0</v>
      </c>
      <c r="J17" s="5">
        <f>'SAP Results'!J17</f>
        <v>146.3998</v>
      </c>
      <c r="K17" s="5" t="str">
        <f>'SAP Results'!K17</f>
        <v>2-1</v>
      </c>
      <c r="L17" s="5">
        <f>'SAP Results'!L17</f>
        <v>0</v>
      </c>
    </row>
    <row r="18" spans="1:12" hidden="1">
      <c r="A18" s="6" t="str">
        <f>'SAP Results'!A18</f>
        <v>2</v>
      </c>
      <c r="B18" s="5">
        <f>'SAP Results'!B18</f>
        <v>2.6</v>
      </c>
      <c r="C18" s="5" t="str">
        <f>'SAP Results'!C18</f>
        <v>EX</v>
      </c>
      <c r="D18" s="5" t="str">
        <f>'SAP Results'!D18</f>
        <v>LinStatic</v>
      </c>
      <c r="E18" s="5">
        <f>'SAP Results'!E18</f>
        <v>6.5729999999999995E-16</v>
      </c>
      <c r="F18" s="5">
        <f>'SAP Results'!F18</f>
        <v>52.991999999999997</v>
      </c>
      <c r="G18" s="5">
        <f>'SAP Results'!G18</f>
        <v>0</v>
      </c>
      <c r="H18" s="5">
        <f>'SAP Results'!H18</f>
        <v>0</v>
      </c>
      <c r="I18" s="5">
        <f>'SAP Results'!I18</f>
        <v>0</v>
      </c>
      <c r="J18" s="5">
        <f>'SAP Results'!J18</f>
        <v>8.6204999999999998</v>
      </c>
      <c r="K18" s="5" t="str">
        <f>'SAP Results'!K18</f>
        <v>2-1</v>
      </c>
      <c r="L18" s="5">
        <f>'SAP Results'!L18</f>
        <v>2.6</v>
      </c>
    </row>
    <row r="19" spans="1:12" hidden="1">
      <c r="A19" s="6" t="str">
        <f>'SAP Results'!A19</f>
        <v>2</v>
      </c>
      <c r="B19" s="5">
        <f>'SAP Results'!B19</f>
        <v>5.2</v>
      </c>
      <c r="C19" s="5" t="str">
        <f>'SAP Results'!C19</f>
        <v>EX</v>
      </c>
      <c r="D19" s="5" t="str">
        <f>'SAP Results'!D19</f>
        <v>LinStatic</v>
      </c>
      <c r="E19" s="5">
        <f>'SAP Results'!E19</f>
        <v>6.5729999999999995E-16</v>
      </c>
      <c r="F19" s="5">
        <f>'SAP Results'!F19</f>
        <v>52.991999999999997</v>
      </c>
      <c r="G19" s="5">
        <f>'SAP Results'!G19</f>
        <v>0</v>
      </c>
      <c r="H19" s="5">
        <f>'SAP Results'!H19</f>
        <v>0</v>
      </c>
      <c r="I19" s="5">
        <f>'SAP Results'!I19</f>
        <v>0</v>
      </c>
      <c r="J19" s="5">
        <f>'SAP Results'!J19</f>
        <v>-129.15889999999999</v>
      </c>
      <c r="K19" s="5" t="str">
        <f>'SAP Results'!K19</f>
        <v>2-1</v>
      </c>
      <c r="L19" s="5">
        <f>'SAP Results'!L19</f>
        <v>5.2</v>
      </c>
    </row>
    <row r="20" spans="1:12">
      <c r="A20" s="6" t="str">
        <f>'SAP Results'!A20</f>
        <v>2</v>
      </c>
      <c r="B20" s="5">
        <f>'SAP Results'!B20</f>
        <v>0</v>
      </c>
      <c r="C20" s="5" t="str">
        <f>'SAP Results'!C20</f>
        <v>G-1</v>
      </c>
      <c r="D20" s="5" t="str">
        <f>'SAP Results'!D20</f>
        <v>LinStatic</v>
      </c>
      <c r="E20" s="5">
        <f>'SAP Results'!E20</f>
        <v>-178.54599999999999</v>
      </c>
      <c r="F20" s="5">
        <f>'SAP Results'!F20</f>
        <v>34.590000000000003</v>
      </c>
      <c r="G20" s="5">
        <f>'SAP Results'!G20</f>
        <v>0</v>
      </c>
      <c r="H20" s="5">
        <f>'SAP Results'!H20</f>
        <v>0</v>
      </c>
      <c r="I20" s="5">
        <f>'SAP Results'!I20</f>
        <v>0</v>
      </c>
      <c r="J20" s="5">
        <f>'SAP Results'!J20</f>
        <v>64.453100000000006</v>
      </c>
      <c r="K20" s="5" t="str">
        <f>'SAP Results'!K20</f>
        <v>2-1</v>
      </c>
      <c r="L20" s="5">
        <f>'SAP Results'!L20</f>
        <v>0</v>
      </c>
    </row>
    <row r="21" spans="1:12" ht="15.75" customHeight="1">
      <c r="A21" s="6" t="str">
        <f>'SAP Results'!A21</f>
        <v>2</v>
      </c>
      <c r="B21" s="5">
        <f>'SAP Results'!B21</f>
        <v>2.6</v>
      </c>
      <c r="C21" s="5" t="str">
        <f>'SAP Results'!C21</f>
        <v>G-1</v>
      </c>
      <c r="D21" s="5" t="str">
        <f>'SAP Results'!D21</f>
        <v>LinStatic</v>
      </c>
      <c r="E21" s="5">
        <f>'SAP Results'!E21</f>
        <v>-178.54599999999999</v>
      </c>
      <c r="F21" s="5">
        <f>'SAP Results'!F21</f>
        <v>34.590000000000003</v>
      </c>
      <c r="G21" s="5">
        <f>'SAP Results'!G21</f>
        <v>0</v>
      </c>
      <c r="H21" s="5">
        <f>'SAP Results'!H21</f>
        <v>0</v>
      </c>
      <c r="I21" s="5">
        <f>'SAP Results'!I21</f>
        <v>0</v>
      </c>
      <c r="J21" s="5">
        <f>'SAP Results'!J21</f>
        <v>-25.48</v>
      </c>
      <c r="K21" s="5" t="str">
        <f>'SAP Results'!K21</f>
        <v>2-1</v>
      </c>
      <c r="L21" s="5">
        <f>'SAP Results'!L21</f>
        <v>2.6</v>
      </c>
    </row>
    <row r="22" spans="1:12" ht="15.75" customHeight="1">
      <c r="A22" s="6" t="str">
        <f>'SAP Results'!A22</f>
        <v>2</v>
      </c>
      <c r="B22" s="5">
        <f>'SAP Results'!B22</f>
        <v>5.2</v>
      </c>
      <c r="C22" s="5" t="str">
        <f>'SAP Results'!C22</f>
        <v>G-1</v>
      </c>
      <c r="D22" s="5" t="str">
        <f>'SAP Results'!D22</f>
        <v>LinStatic</v>
      </c>
      <c r="E22" s="5">
        <f>'SAP Results'!E22</f>
        <v>-178.54599999999999</v>
      </c>
      <c r="F22" s="5">
        <f>'SAP Results'!F22</f>
        <v>34.590000000000003</v>
      </c>
      <c r="G22" s="5">
        <f>'SAP Results'!G22</f>
        <v>0</v>
      </c>
      <c r="H22" s="5">
        <f>'SAP Results'!H22</f>
        <v>0</v>
      </c>
      <c r="I22" s="5">
        <f>'SAP Results'!I22</f>
        <v>0</v>
      </c>
      <c r="J22" s="5">
        <f>'SAP Results'!J22</f>
        <v>-115.4132</v>
      </c>
      <c r="K22" s="5" t="str">
        <f>'SAP Results'!K22</f>
        <v>2-1</v>
      </c>
      <c r="L22" s="5">
        <f>'SAP Results'!L22</f>
        <v>5.2</v>
      </c>
    </row>
    <row r="23" spans="1:12" ht="15.75" hidden="1" customHeight="1">
      <c r="A23" s="6" t="str">
        <f>'SAP Results'!A23</f>
        <v>2</v>
      </c>
      <c r="B23" s="5">
        <f>'SAP Results'!B23</f>
        <v>0</v>
      </c>
      <c r="C23" s="5" t="str">
        <f>'SAP Results'!C23</f>
        <v>G-2</v>
      </c>
      <c r="D23" s="5" t="str">
        <f>'SAP Results'!D23</f>
        <v>LinStatic</v>
      </c>
      <c r="E23" s="5">
        <f>'SAP Results'!E23</f>
        <v>-178.54599999999999</v>
      </c>
      <c r="F23" s="5">
        <f>'SAP Results'!F23</f>
        <v>-34.590000000000003</v>
      </c>
      <c r="G23" s="5">
        <f>'SAP Results'!G23</f>
        <v>0</v>
      </c>
      <c r="H23" s="5">
        <f>'SAP Results'!H23</f>
        <v>0</v>
      </c>
      <c r="I23" s="5">
        <f>'SAP Results'!I23</f>
        <v>0</v>
      </c>
      <c r="J23" s="5">
        <f>'SAP Results'!J23</f>
        <v>-64.453100000000006</v>
      </c>
      <c r="K23" s="5" t="str">
        <f>'SAP Results'!K23</f>
        <v>2-1</v>
      </c>
      <c r="L23" s="5">
        <f>'SAP Results'!L23</f>
        <v>0</v>
      </c>
    </row>
    <row r="24" spans="1:12" ht="15.75" hidden="1" customHeight="1">
      <c r="A24" s="6" t="str">
        <f>'SAP Results'!A24</f>
        <v>2</v>
      </c>
      <c r="B24" s="5">
        <f>'SAP Results'!B24</f>
        <v>2.6</v>
      </c>
      <c r="C24" s="5" t="str">
        <f>'SAP Results'!C24</f>
        <v>G-2</v>
      </c>
      <c r="D24" s="5" t="str">
        <f>'SAP Results'!D24</f>
        <v>LinStatic</v>
      </c>
      <c r="E24" s="5">
        <f>'SAP Results'!E24</f>
        <v>-178.54599999999999</v>
      </c>
      <c r="F24" s="5">
        <f>'SAP Results'!F24</f>
        <v>-34.590000000000003</v>
      </c>
      <c r="G24" s="5">
        <f>'SAP Results'!G24</f>
        <v>0</v>
      </c>
      <c r="H24" s="5">
        <f>'SAP Results'!H24</f>
        <v>0</v>
      </c>
      <c r="I24" s="5">
        <f>'SAP Results'!I24</f>
        <v>0</v>
      </c>
      <c r="J24" s="5">
        <f>'SAP Results'!J24</f>
        <v>25.48</v>
      </c>
      <c r="K24" s="5" t="str">
        <f>'SAP Results'!K24</f>
        <v>2-1</v>
      </c>
      <c r="L24" s="5">
        <f>'SAP Results'!L24</f>
        <v>2.6</v>
      </c>
    </row>
    <row r="25" spans="1:12" ht="15.75" hidden="1" customHeight="1">
      <c r="A25" s="6" t="str">
        <f>'SAP Results'!A25</f>
        <v>2</v>
      </c>
      <c r="B25" s="5">
        <f>'SAP Results'!B25</f>
        <v>5.2</v>
      </c>
      <c r="C25" s="5" t="str">
        <f>'SAP Results'!C25</f>
        <v>G-2</v>
      </c>
      <c r="D25" s="5" t="str">
        <f>'SAP Results'!D25</f>
        <v>LinStatic</v>
      </c>
      <c r="E25" s="5">
        <f>'SAP Results'!E25</f>
        <v>-178.54599999999999</v>
      </c>
      <c r="F25" s="5">
        <f>'SAP Results'!F25</f>
        <v>-34.590000000000003</v>
      </c>
      <c r="G25" s="5">
        <f>'SAP Results'!G25</f>
        <v>0</v>
      </c>
      <c r="H25" s="5">
        <f>'SAP Results'!H25</f>
        <v>0</v>
      </c>
      <c r="I25" s="5">
        <f>'SAP Results'!I25</f>
        <v>0</v>
      </c>
      <c r="J25" s="5">
        <f>'SAP Results'!J25</f>
        <v>115.4132</v>
      </c>
      <c r="K25" s="5" t="str">
        <f>'SAP Results'!K25</f>
        <v>2-1</v>
      </c>
      <c r="L25" s="5">
        <f>'SAP Results'!L25</f>
        <v>5.2</v>
      </c>
    </row>
    <row r="26" spans="1:12" ht="15.75" hidden="1" customHeight="1">
      <c r="A26" s="6" t="str">
        <f>'SAP Results'!A26</f>
        <v>2</v>
      </c>
      <c r="B26" s="5">
        <f>'SAP Results'!B26</f>
        <v>0</v>
      </c>
      <c r="C26" s="5" t="str">
        <f>'SAP Results'!C26</f>
        <v>Q-1</v>
      </c>
      <c r="D26" s="5" t="str">
        <f>'SAP Results'!D26</f>
        <v>LinStatic</v>
      </c>
      <c r="E26" s="5">
        <f>'SAP Results'!E26</f>
        <v>-90.078999999999994</v>
      </c>
      <c r="F26" s="5">
        <f>'SAP Results'!F26</f>
        <v>17.451000000000001</v>
      </c>
      <c r="G26" s="5">
        <f>'SAP Results'!G26</f>
        <v>0</v>
      </c>
      <c r="H26" s="5">
        <f>'SAP Results'!H26</f>
        <v>0</v>
      </c>
      <c r="I26" s="5">
        <f>'SAP Results'!I26</f>
        <v>0</v>
      </c>
      <c r="J26" s="5">
        <f>'SAP Results'!J26</f>
        <v>32.517400000000002</v>
      </c>
      <c r="K26" s="5" t="str">
        <f>'SAP Results'!K26</f>
        <v>2-1</v>
      </c>
      <c r="L26" s="5">
        <f>'SAP Results'!L26</f>
        <v>0</v>
      </c>
    </row>
    <row r="27" spans="1:12" ht="15.75" hidden="1" customHeight="1">
      <c r="A27" s="6" t="str">
        <f>'SAP Results'!A27</f>
        <v>2</v>
      </c>
      <c r="B27" s="5">
        <f>'SAP Results'!B27</f>
        <v>2.6</v>
      </c>
      <c r="C27" s="5" t="str">
        <f>'SAP Results'!C27</f>
        <v>Q-1</v>
      </c>
      <c r="D27" s="5" t="str">
        <f>'SAP Results'!D27</f>
        <v>LinStatic</v>
      </c>
      <c r="E27" s="5">
        <f>'SAP Results'!E27</f>
        <v>-90.078999999999994</v>
      </c>
      <c r="F27" s="5">
        <f>'SAP Results'!F27</f>
        <v>17.451000000000001</v>
      </c>
      <c r="G27" s="5">
        <f>'SAP Results'!G27</f>
        <v>0</v>
      </c>
      <c r="H27" s="5">
        <f>'SAP Results'!H27</f>
        <v>0</v>
      </c>
      <c r="I27" s="5">
        <f>'SAP Results'!I27</f>
        <v>0</v>
      </c>
      <c r="J27" s="5">
        <f>'SAP Results'!J27</f>
        <v>-12.855</v>
      </c>
      <c r="K27" s="5" t="str">
        <f>'SAP Results'!K27</f>
        <v>2-1</v>
      </c>
      <c r="L27" s="5">
        <f>'SAP Results'!L27</f>
        <v>2.6</v>
      </c>
    </row>
    <row r="28" spans="1:12" ht="15.75" hidden="1" customHeight="1">
      <c r="A28" s="6" t="str">
        <f>'SAP Results'!A28</f>
        <v>2</v>
      </c>
      <c r="B28" s="5">
        <f>'SAP Results'!B28</f>
        <v>5.2</v>
      </c>
      <c r="C28" s="5" t="str">
        <f>'SAP Results'!C28</f>
        <v>Q-1</v>
      </c>
      <c r="D28" s="5" t="str">
        <f>'SAP Results'!D28</f>
        <v>LinStatic</v>
      </c>
      <c r="E28" s="5">
        <f>'SAP Results'!E28</f>
        <v>-90.078999999999994</v>
      </c>
      <c r="F28" s="5">
        <f>'SAP Results'!F28</f>
        <v>17.451000000000001</v>
      </c>
      <c r="G28" s="5">
        <f>'SAP Results'!G28</f>
        <v>0</v>
      </c>
      <c r="H28" s="5">
        <f>'SAP Results'!H28</f>
        <v>0</v>
      </c>
      <c r="I28" s="5">
        <f>'SAP Results'!I28</f>
        <v>0</v>
      </c>
      <c r="J28" s="5">
        <f>'SAP Results'!J28</f>
        <v>-58.227400000000003</v>
      </c>
      <c r="K28" s="5" t="str">
        <f>'SAP Results'!K28</f>
        <v>2-1</v>
      </c>
      <c r="L28" s="5">
        <f>'SAP Results'!L28</f>
        <v>5.2</v>
      </c>
    </row>
    <row r="29" spans="1:12" ht="15.75" hidden="1" customHeight="1">
      <c r="A29" s="6" t="str">
        <f>'SAP Results'!A29</f>
        <v>2</v>
      </c>
      <c r="B29" s="5">
        <f>'SAP Results'!B29</f>
        <v>0</v>
      </c>
      <c r="C29" s="5" t="str">
        <f>'SAP Results'!C29</f>
        <v>Q-2</v>
      </c>
      <c r="D29" s="5" t="str">
        <f>'SAP Results'!D29</f>
        <v>LinStatic</v>
      </c>
      <c r="E29" s="5">
        <f>'SAP Results'!E29</f>
        <v>-90.078999999999994</v>
      </c>
      <c r="F29" s="5">
        <f>'SAP Results'!F29</f>
        <v>-17.451000000000001</v>
      </c>
      <c r="G29" s="5">
        <f>'SAP Results'!G29</f>
        <v>0</v>
      </c>
      <c r="H29" s="5">
        <f>'SAP Results'!H29</f>
        <v>0</v>
      </c>
      <c r="I29" s="5">
        <f>'SAP Results'!I29</f>
        <v>0</v>
      </c>
      <c r="J29" s="5">
        <f>'SAP Results'!J29</f>
        <v>-32.517400000000002</v>
      </c>
      <c r="K29" s="5" t="str">
        <f>'SAP Results'!K29</f>
        <v>2-1</v>
      </c>
      <c r="L29" s="5">
        <f>'SAP Results'!L29</f>
        <v>0</v>
      </c>
    </row>
    <row r="30" spans="1:12" ht="15.75" hidden="1" customHeight="1">
      <c r="A30" s="6" t="str">
        <f>'SAP Results'!A30</f>
        <v>2</v>
      </c>
      <c r="B30" s="5">
        <f>'SAP Results'!B30</f>
        <v>2.6</v>
      </c>
      <c r="C30" s="5" t="str">
        <f>'SAP Results'!C30</f>
        <v>Q-2</v>
      </c>
      <c r="D30" s="5" t="str">
        <f>'SAP Results'!D30</f>
        <v>LinStatic</v>
      </c>
      <c r="E30" s="5">
        <f>'SAP Results'!E30</f>
        <v>-90.078999999999994</v>
      </c>
      <c r="F30" s="5">
        <f>'SAP Results'!F30</f>
        <v>-17.451000000000001</v>
      </c>
      <c r="G30" s="5">
        <f>'SAP Results'!G30</f>
        <v>0</v>
      </c>
      <c r="H30" s="5">
        <f>'SAP Results'!H30</f>
        <v>0</v>
      </c>
      <c r="I30" s="5">
        <f>'SAP Results'!I30</f>
        <v>0</v>
      </c>
      <c r="J30" s="5">
        <f>'SAP Results'!J30</f>
        <v>12.855</v>
      </c>
      <c r="K30" s="5" t="str">
        <f>'SAP Results'!K30</f>
        <v>2-1</v>
      </c>
      <c r="L30" s="5">
        <f>'SAP Results'!L30</f>
        <v>2.6</v>
      </c>
    </row>
    <row r="31" spans="1:12" ht="15.75" hidden="1" customHeight="1">
      <c r="A31" s="6" t="str">
        <f>'SAP Results'!A31</f>
        <v>2</v>
      </c>
      <c r="B31" s="5">
        <f>'SAP Results'!B31</f>
        <v>5.2</v>
      </c>
      <c r="C31" s="5" t="str">
        <f>'SAP Results'!C31</f>
        <v>Q-2</v>
      </c>
      <c r="D31" s="5" t="str">
        <f>'SAP Results'!D31</f>
        <v>LinStatic</v>
      </c>
      <c r="E31" s="5">
        <f>'SAP Results'!E31</f>
        <v>-90.078999999999994</v>
      </c>
      <c r="F31" s="5">
        <f>'SAP Results'!F31</f>
        <v>-17.451000000000001</v>
      </c>
      <c r="G31" s="5">
        <f>'SAP Results'!G31</f>
        <v>0</v>
      </c>
      <c r="H31" s="5">
        <f>'SAP Results'!H31</f>
        <v>0</v>
      </c>
      <c r="I31" s="5">
        <f>'SAP Results'!I31</f>
        <v>0</v>
      </c>
      <c r="J31" s="5">
        <f>'SAP Results'!J31</f>
        <v>58.227400000000003</v>
      </c>
      <c r="K31" s="5" t="str">
        <f>'SAP Results'!K31</f>
        <v>2-1</v>
      </c>
      <c r="L31" s="5">
        <f>'SAP Results'!L31</f>
        <v>5.2</v>
      </c>
    </row>
    <row r="32" spans="1:12" ht="15.75" hidden="1" customHeight="1">
      <c r="A32" s="6" t="str">
        <f>'SAP Results'!A32</f>
        <v>3</v>
      </c>
      <c r="B32" s="5">
        <f>'SAP Results'!B32</f>
        <v>0</v>
      </c>
      <c r="C32" s="5" t="str">
        <f>'SAP Results'!C32</f>
        <v>EX</v>
      </c>
      <c r="D32" s="5" t="str">
        <f>'SAP Results'!D32</f>
        <v>LinStatic</v>
      </c>
      <c r="E32" s="5">
        <f>'SAP Results'!E32</f>
        <v>-18.693999999999999</v>
      </c>
      <c r="F32" s="5">
        <f>'SAP Results'!F32</f>
        <v>40.723999999999997</v>
      </c>
      <c r="G32" s="5">
        <f>'SAP Results'!G32</f>
        <v>0</v>
      </c>
      <c r="H32" s="5">
        <f>'SAP Results'!H32</f>
        <v>0</v>
      </c>
      <c r="I32" s="5">
        <f>'SAP Results'!I32</f>
        <v>0</v>
      </c>
      <c r="J32" s="5">
        <f>'SAP Results'!J32</f>
        <v>125.8599</v>
      </c>
      <c r="K32" s="5" t="str">
        <f>'SAP Results'!K32</f>
        <v>3-1</v>
      </c>
      <c r="L32" s="5">
        <f>'SAP Results'!L32</f>
        <v>0</v>
      </c>
    </row>
    <row r="33" spans="1:12" ht="15.75" hidden="1" customHeight="1">
      <c r="A33" s="6" t="str">
        <f>'SAP Results'!A33</f>
        <v>3</v>
      </c>
      <c r="B33" s="5">
        <f>'SAP Results'!B33</f>
        <v>2.6</v>
      </c>
      <c r="C33" s="5" t="str">
        <f>'SAP Results'!C33</f>
        <v>EX</v>
      </c>
      <c r="D33" s="5" t="str">
        <f>'SAP Results'!D33</f>
        <v>LinStatic</v>
      </c>
      <c r="E33" s="5">
        <f>'SAP Results'!E33</f>
        <v>-18.693999999999999</v>
      </c>
      <c r="F33" s="5">
        <f>'SAP Results'!F33</f>
        <v>40.723999999999997</v>
      </c>
      <c r="G33" s="5">
        <f>'SAP Results'!G33</f>
        <v>0</v>
      </c>
      <c r="H33" s="5">
        <f>'SAP Results'!H33</f>
        <v>0</v>
      </c>
      <c r="I33" s="5">
        <f>'SAP Results'!I33</f>
        <v>0</v>
      </c>
      <c r="J33" s="5">
        <f>'SAP Results'!J33</f>
        <v>19.977599999999999</v>
      </c>
      <c r="K33" s="5" t="str">
        <f>'SAP Results'!K33</f>
        <v>3-1</v>
      </c>
      <c r="L33" s="5">
        <f>'SAP Results'!L33</f>
        <v>2.6</v>
      </c>
    </row>
    <row r="34" spans="1:12" ht="15.75" hidden="1" customHeight="1">
      <c r="A34" s="6" t="str">
        <f>'SAP Results'!A34</f>
        <v>3</v>
      </c>
      <c r="B34" s="5">
        <f>'SAP Results'!B34</f>
        <v>5.2</v>
      </c>
      <c r="C34" s="5" t="str">
        <f>'SAP Results'!C34</f>
        <v>EX</v>
      </c>
      <c r="D34" s="5" t="str">
        <f>'SAP Results'!D34</f>
        <v>LinStatic</v>
      </c>
      <c r="E34" s="5">
        <f>'SAP Results'!E34</f>
        <v>-18.693999999999999</v>
      </c>
      <c r="F34" s="5">
        <f>'SAP Results'!F34</f>
        <v>40.723999999999997</v>
      </c>
      <c r="G34" s="5">
        <f>'SAP Results'!G34</f>
        <v>0</v>
      </c>
      <c r="H34" s="5">
        <f>'SAP Results'!H34</f>
        <v>0</v>
      </c>
      <c r="I34" s="5">
        <f>'SAP Results'!I34</f>
        <v>0</v>
      </c>
      <c r="J34" s="5">
        <f>'SAP Results'!J34</f>
        <v>-85.904799999999994</v>
      </c>
      <c r="K34" s="5" t="str">
        <f>'SAP Results'!K34</f>
        <v>3-1</v>
      </c>
      <c r="L34" s="5">
        <f>'SAP Results'!L34</f>
        <v>5.2</v>
      </c>
    </row>
    <row r="35" spans="1:12" ht="15.75" customHeight="1">
      <c r="A35" s="6" t="str">
        <f>'SAP Results'!A35</f>
        <v>3</v>
      </c>
      <c r="B35" s="5">
        <f>'SAP Results'!B35</f>
        <v>0</v>
      </c>
      <c r="C35" s="5" t="str">
        <f>'SAP Results'!C35</f>
        <v>G-1</v>
      </c>
      <c r="D35" s="5" t="str">
        <f>'SAP Results'!D35</f>
        <v>LinStatic</v>
      </c>
      <c r="E35" s="5">
        <f>'SAP Results'!E35</f>
        <v>10.212999999999999</v>
      </c>
      <c r="F35" s="5">
        <f>'SAP Results'!F35</f>
        <v>-1.0249999999999999</v>
      </c>
      <c r="G35" s="5">
        <f>'SAP Results'!G35</f>
        <v>0</v>
      </c>
      <c r="H35" s="5">
        <f>'SAP Results'!H35</f>
        <v>0</v>
      </c>
      <c r="I35" s="5">
        <f>'SAP Results'!I35</f>
        <v>0</v>
      </c>
      <c r="J35" s="5">
        <f>'SAP Results'!J35</f>
        <v>4.8253000000000004</v>
      </c>
      <c r="K35" s="5" t="str">
        <f>'SAP Results'!K35</f>
        <v>3-1</v>
      </c>
      <c r="L35" s="5">
        <f>'SAP Results'!L35</f>
        <v>0</v>
      </c>
    </row>
    <row r="36" spans="1:12" ht="15.75" customHeight="1">
      <c r="A36" s="6" t="str">
        <f>'SAP Results'!A36</f>
        <v>3</v>
      </c>
      <c r="B36" s="5">
        <f>'SAP Results'!B36</f>
        <v>2.6</v>
      </c>
      <c r="C36" s="5" t="str">
        <f>'SAP Results'!C36</f>
        <v>G-1</v>
      </c>
      <c r="D36" s="5" t="str">
        <f>'SAP Results'!D36</f>
        <v>LinStatic</v>
      </c>
      <c r="E36" s="5">
        <f>'SAP Results'!E36</f>
        <v>10.212999999999999</v>
      </c>
      <c r="F36" s="5">
        <f>'SAP Results'!F36</f>
        <v>-1.0249999999999999</v>
      </c>
      <c r="G36" s="5">
        <f>'SAP Results'!G36</f>
        <v>0</v>
      </c>
      <c r="H36" s="5">
        <f>'SAP Results'!H36</f>
        <v>0</v>
      </c>
      <c r="I36" s="5">
        <f>'SAP Results'!I36</f>
        <v>0</v>
      </c>
      <c r="J36" s="5">
        <f>'SAP Results'!J36</f>
        <v>7.4897999999999998</v>
      </c>
      <c r="K36" s="5" t="str">
        <f>'SAP Results'!K36</f>
        <v>3-1</v>
      </c>
      <c r="L36" s="5">
        <f>'SAP Results'!L36</f>
        <v>2.6</v>
      </c>
    </row>
    <row r="37" spans="1:12" ht="15.75" customHeight="1">
      <c r="A37" s="6" t="str">
        <f>'SAP Results'!A37</f>
        <v>3</v>
      </c>
      <c r="B37" s="5">
        <f>'SAP Results'!B37</f>
        <v>5.2</v>
      </c>
      <c r="C37" s="5" t="str">
        <f>'SAP Results'!C37</f>
        <v>G-1</v>
      </c>
      <c r="D37" s="5" t="str">
        <f>'SAP Results'!D37</f>
        <v>LinStatic</v>
      </c>
      <c r="E37" s="5">
        <f>'SAP Results'!E37</f>
        <v>10.212999999999999</v>
      </c>
      <c r="F37" s="5">
        <f>'SAP Results'!F37</f>
        <v>-1.0249999999999999</v>
      </c>
      <c r="G37" s="5">
        <f>'SAP Results'!G37</f>
        <v>0</v>
      </c>
      <c r="H37" s="5">
        <f>'SAP Results'!H37</f>
        <v>0</v>
      </c>
      <c r="I37" s="5">
        <f>'SAP Results'!I37</f>
        <v>0</v>
      </c>
      <c r="J37" s="5">
        <f>'SAP Results'!J37</f>
        <v>10.154299999999999</v>
      </c>
      <c r="K37" s="5" t="str">
        <f>'SAP Results'!K37</f>
        <v>3-1</v>
      </c>
      <c r="L37" s="5">
        <f>'SAP Results'!L37</f>
        <v>5.2</v>
      </c>
    </row>
    <row r="38" spans="1:12" ht="15.75" hidden="1" customHeight="1">
      <c r="A38" s="6" t="str">
        <f>'SAP Results'!A38</f>
        <v>3</v>
      </c>
      <c r="B38" s="5">
        <f>'SAP Results'!B38</f>
        <v>0</v>
      </c>
      <c r="C38" s="5" t="str">
        <f>'SAP Results'!C38</f>
        <v>G-2</v>
      </c>
      <c r="D38" s="5" t="str">
        <f>'SAP Results'!D38</f>
        <v>LinStatic</v>
      </c>
      <c r="E38" s="5">
        <f>'SAP Results'!E38</f>
        <v>-152.78200000000001</v>
      </c>
      <c r="F38" s="5">
        <f>'SAP Results'!F38</f>
        <v>33.564999999999998</v>
      </c>
      <c r="G38" s="5">
        <f>'SAP Results'!G38</f>
        <v>0</v>
      </c>
      <c r="H38" s="5">
        <f>'SAP Results'!H38</f>
        <v>0</v>
      </c>
      <c r="I38" s="5">
        <f>'SAP Results'!I38</f>
        <v>0</v>
      </c>
      <c r="J38" s="5">
        <f>'SAP Results'!J38</f>
        <v>49.655099999999997</v>
      </c>
      <c r="K38" s="5" t="str">
        <f>'SAP Results'!K38</f>
        <v>3-1</v>
      </c>
      <c r="L38" s="5">
        <f>'SAP Results'!L38</f>
        <v>0</v>
      </c>
    </row>
    <row r="39" spans="1:12" ht="15.75" hidden="1" customHeight="1">
      <c r="A39" s="6" t="str">
        <f>'SAP Results'!A39</f>
        <v>3</v>
      </c>
      <c r="B39" s="5">
        <f>'SAP Results'!B39</f>
        <v>2.6</v>
      </c>
      <c r="C39" s="5" t="str">
        <f>'SAP Results'!C39</f>
        <v>G-2</v>
      </c>
      <c r="D39" s="5" t="str">
        <f>'SAP Results'!D39</f>
        <v>LinStatic</v>
      </c>
      <c r="E39" s="5">
        <f>'SAP Results'!E39</f>
        <v>-152.78200000000001</v>
      </c>
      <c r="F39" s="5">
        <f>'SAP Results'!F39</f>
        <v>33.564999999999998</v>
      </c>
      <c r="G39" s="5">
        <f>'SAP Results'!G39</f>
        <v>0</v>
      </c>
      <c r="H39" s="5">
        <f>'SAP Results'!H39</f>
        <v>0</v>
      </c>
      <c r="I39" s="5">
        <f>'SAP Results'!I39</f>
        <v>0</v>
      </c>
      <c r="J39" s="5">
        <f>'SAP Results'!J39</f>
        <v>-37.613599999999998</v>
      </c>
      <c r="K39" s="5" t="str">
        <f>'SAP Results'!K39</f>
        <v>3-1</v>
      </c>
      <c r="L39" s="5">
        <f>'SAP Results'!L39</f>
        <v>2.6</v>
      </c>
    </row>
    <row r="40" spans="1:12" ht="15.75" hidden="1" customHeight="1">
      <c r="A40" s="6" t="str">
        <f>'SAP Results'!A40</f>
        <v>3</v>
      </c>
      <c r="B40" s="5">
        <f>'SAP Results'!B40</f>
        <v>5.2</v>
      </c>
      <c r="C40" s="5" t="str">
        <f>'SAP Results'!C40</f>
        <v>G-2</v>
      </c>
      <c r="D40" s="5" t="str">
        <f>'SAP Results'!D40</f>
        <v>LinStatic</v>
      </c>
      <c r="E40" s="5">
        <f>'SAP Results'!E40</f>
        <v>-152.78200000000001</v>
      </c>
      <c r="F40" s="5">
        <f>'SAP Results'!F40</f>
        <v>33.564999999999998</v>
      </c>
      <c r="G40" s="5">
        <f>'SAP Results'!G40</f>
        <v>0</v>
      </c>
      <c r="H40" s="5">
        <f>'SAP Results'!H40</f>
        <v>0</v>
      </c>
      <c r="I40" s="5">
        <f>'SAP Results'!I40</f>
        <v>0</v>
      </c>
      <c r="J40" s="5">
        <f>'SAP Results'!J40</f>
        <v>-124.8822</v>
      </c>
      <c r="K40" s="5" t="str">
        <f>'SAP Results'!K40</f>
        <v>3-1</v>
      </c>
      <c r="L40" s="5">
        <f>'SAP Results'!L40</f>
        <v>5.2</v>
      </c>
    </row>
    <row r="41" spans="1:12" ht="15.75" hidden="1" customHeight="1">
      <c r="A41" s="6" t="str">
        <f>'SAP Results'!A41</f>
        <v>3</v>
      </c>
      <c r="B41" s="5">
        <f>'SAP Results'!B41</f>
        <v>0</v>
      </c>
      <c r="C41" s="5" t="str">
        <f>'SAP Results'!C41</f>
        <v>Q-1</v>
      </c>
      <c r="D41" s="5" t="str">
        <f>'SAP Results'!D41</f>
        <v>LinStatic</v>
      </c>
      <c r="E41" s="5">
        <f>'SAP Results'!E41</f>
        <v>5.1529999999999996</v>
      </c>
      <c r="F41" s="5">
        <f>'SAP Results'!F41</f>
        <v>-0.51700000000000002</v>
      </c>
      <c r="G41" s="5">
        <f>'SAP Results'!G41</f>
        <v>0</v>
      </c>
      <c r="H41" s="5">
        <f>'SAP Results'!H41</f>
        <v>0</v>
      </c>
      <c r="I41" s="5">
        <f>'SAP Results'!I41</f>
        <v>0</v>
      </c>
      <c r="J41" s="5">
        <f>'SAP Results'!J41</f>
        <v>2.4344000000000001</v>
      </c>
      <c r="K41" s="5" t="str">
        <f>'SAP Results'!K41</f>
        <v>3-1</v>
      </c>
      <c r="L41" s="5">
        <f>'SAP Results'!L41</f>
        <v>0</v>
      </c>
    </row>
    <row r="42" spans="1:12" ht="15.75" hidden="1" customHeight="1">
      <c r="A42" s="6" t="str">
        <f>'SAP Results'!A42</f>
        <v>3</v>
      </c>
      <c r="B42" s="5">
        <f>'SAP Results'!B42</f>
        <v>2.6</v>
      </c>
      <c r="C42" s="5" t="str">
        <f>'SAP Results'!C42</f>
        <v>Q-1</v>
      </c>
      <c r="D42" s="5" t="str">
        <f>'SAP Results'!D42</f>
        <v>LinStatic</v>
      </c>
      <c r="E42" s="5">
        <f>'SAP Results'!E42</f>
        <v>5.1529999999999996</v>
      </c>
      <c r="F42" s="5">
        <f>'SAP Results'!F42</f>
        <v>-0.51700000000000002</v>
      </c>
      <c r="G42" s="5">
        <f>'SAP Results'!G42</f>
        <v>0</v>
      </c>
      <c r="H42" s="5">
        <f>'SAP Results'!H42</f>
        <v>0</v>
      </c>
      <c r="I42" s="5">
        <f>'SAP Results'!I42</f>
        <v>0</v>
      </c>
      <c r="J42" s="5">
        <f>'SAP Results'!J42</f>
        <v>3.7787000000000002</v>
      </c>
      <c r="K42" s="5" t="str">
        <f>'SAP Results'!K42</f>
        <v>3-1</v>
      </c>
      <c r="L42" s="5">
        <f>'SAP Results'!L42</f>
        <v>2.6</v>
      </c>
    </row>
    <row r="43" spans="1:12" ht="15.75" hidden="1" customHeight="1">
      <c r="A43" s="6" t="str">
        <f>'SAP Results'!A43</f>
        <v>3</v>
      </c>
      <c r="B43" s="5">
        <f>'SAP Results'!B43</f>
        <v>5.2</v>
      </c>
      <c r="C43" s="5" t="str">
        <f>'SAP Results'!C43</f>
        <v>Q-1</v>
      </c>
      <c r="D43" s="5" t="str">
        <f>'SAP Results'!D43</f>
        <v>LinStatic</v>
      </c>
      <c r="E43" s="5">
        <f>'SAP Results'!E43</f>
        <v>5.1529999999999996</v>
      </c>
      <c r="F43" s="5">
        <f>'SAP Results'!F43</f>
        <v>-0.51700000000000002</v>
      </c>
      <c r="G43" s="5">
        <f>'SAP Results'!G43</f>
        <v>0</v>
      </c>
      <c r="H43" s="5">
        <f>'SAP Results'!H43</f>
        <v>0</v>
      </c>
      <c r="I43" s="5">
        <f>'SAP Results'!I43</f>
        <v>0</v>
      </c>
      <c r="J43" s="5">
        <f>'SAP Results'!J43</f>
        <v>5.1230000000000002</v>
      </c>
      <c r="K43" s="5" t="str">
        <f>'SAP Results'!K43</f>
        <v>3-1</v>
      </c>
      <c r="L43" s="5">
        <f>'SAP Results'!L43</f>
        <v>5.2</v>
      </c>
    </row>
    <row r="44" spans="1:12" ht="15.75" hidden="1" customHeight="1">
      <c r="A44" s="6" t="str">
        <f>'SAP Results'!A44</f>
        <v>3</v>
      </c>
      <c r="B44" s="5">
        <f>'SAP Results'!B44</f>
        <v>0</v>
      </c>
      <c r="C44" s="5" t="str">
        <f>'SAP Results'!C44</f>
        <v>Q-2</v>
      </c>
      <c r="D44" s="5" t="str">
        <f>'SAP Results'!D44</f>
        <v>LinStatic</v>
      </c>
      <c r="E44" s="5">
        <f>'SAP Results'!E44</f>
        <v>-77.08</v>
      </c>
      <c r="F44" s="5">
        <f>'SAP Results'!F44</f>
        <v>16.934000000000001</v>
      </c>
      <c r="G44" s="5">
        <f>'SAP Results'!G44</f>
        <v>0</v>
      </c>
      <c r="H44" s="5">
        <f>'SAP Results'!H44</f>
        <v>0</v>
      </c>
      <c r="I44" s="5">
        <f>'SAP Results'!I44</f>
        <v>0</v>
      </c>
      <c r="J44" s="5">
        <f>'SAP Results'!J44</f>
        <v>25.051600000000001</v>
      </c>
      <c r="K44" s="5" t="str">
        <f>'SAP Results'!K44</f>
        <v>3-1</v>
      </c>
      <c r="L44" s="5">
        <f>'SAP Results'!L44</f>
        <v>0</v>
      </c>
    </row>
    <row r="45" spans="1:12" ht="15.75" hidden="1" customHeight="1">
      <c r="A45" s="6" t="str">
        <f>'SAP Results'!A45</f>
        <v>3</v>
      </c>
      <c r="B45" s="5">
        <f>'SAP Results'!B45</f>
        <v>2.6</v>
      </c>
      <c r="C45" s="5" t="str">
        <f>'SAP Results'!C45</f>
        <v>Q-2</v>
      </c>
      <c r="D45" s="5" t="str">
        <f>'SAP Results'!D45</f>
        <v>LinStatic</v>
      </c>
      <c r="E45" s="5">
        <f>'SAP Results'!E45</f>
        <v>-77.08</v>
      </c>
      <c r="F45" s="5">
        <f>'SAP Results'!F45</f>
        <v>16.934000000000001</v>
      </c>
      <c r="G45" s="5">
        <f>'SAP Results'!G45</f>
        <v>0</v>
      </c>
      <c r="H45" s="5">
        <f>'SAP Results'!H45</f>
        <v>0</v>
      </c>
      <c r="I45" s="5">
        <f>'SAP Results'!I45</f>
        <v>0</v>
      </c>
      <c r="J45" s="5">
        <f>'SAP Results'!J45</f>
        <v>-18.976500000000001</v>
      </c>
      <c r="K45" s="5" t="str">
        <f>'SAP Results'!K45</f>
        <v>3-1</v>
      </c>
      <c r="L45" s="5">
        <f>'SAP Results'!L45</f>
        <v>2.6</v>
      </c>
    </row>
    <row r="46" spans="1:12" ht="15.75" hidden="1" customHeight="1">
      <c r="A46" s="6" t="str">
        <f>'SAP Results'!A46</f>
        <v>3</v>
      </c>
      <c r="B46" s="5">
        <f>'SAP Results'!B46</f>
        <v>5.2</v>
      </c>
      <c r="C46" s="5" t="str">
        <f>'SAP Results'!C46</f>
        <v>Q-2</v>
      </c>
      <c r="D46" s="5" t="str">
        <f>'SAP Results'!D46</f>
        <v>LinStatic</v>
      </c>
      <c r="E46" s="5">
        <f>'SAP Results'!E46</f>
        <v>-77.08</v>
      </c>
      <c r="F46" s="5">
        <f>'SAP Results'!F46</f>
        <v>16.934000000000001</v>
      </c>
      <c r="G46" s="5">
        <f>'SAP Results'!G46</f>
        <v>0</v>
      </c>
      <c r="H46" s="5">
        <f>'SAP Results'!H46</f>
        <v>0</v>
      </c>
      <c r="I46" s="5">
        <f>'SAP Results'!I46</f>
        <v>0</v>
      </c>
      <c r="J46" s="5">
        <f>'SAP Results'!J46</f>
        <v>-63.004600000000003</v>
      </c>
      <c r="K46" s="5" t="str">
        <f>'SAP Results'!K46</f>
        <v>3-1</v>
      </c>
      <c r="L46" s="5">
        <f>'SAP Results'!L46</f>
        <v>5.2</v>
      </c>
    </row>
    <row r="47" spans="1:12" ht="15.75" hidden="1" customHeight="1">
      <c r="A47" s="6" t="str">
        <f>'SAP Results'!A47</f>
        <v>4</v>
      </c>
      <c r="B47" s="5">
        <f>'SAP Results'!B47</f>
        <v>0</v>
      </c>
      <c r="C47" s="5" t="str">
        <f>'SAP Results'!C47</f>
        <v>EX</v>
      </c>
      <c r="D47" s="5" t="str">
        <f>'SAP Results'!D47</f>
        <v>LinStatic</v>
      </c>
      <c r="E47" s="5">
        <f>'SAP Results'!E47</f>
        <v>0</v>
      </c>
      <c r="F47" s="5">
        <f>'SAP Results'!F47</f>
        <v>18.693999999999999</v>
      </c>
      <c r="G47" s="5">
        <f>'SAP Results'!G47</f>
        <v>0</v>
      </c>
      <c r="H47" s="5">
        <f>'SAP Results'!H47</f>
        <v>0</v>
      </c>
      <c r="I47" s="5">
        <f>'SAP Results'!I47</f>
        <v>0</v>
      </c>
      <c r="J47" s="5">
        <f>'SAP Results'!J47</f>
        <v>85.904799999999994</v>
      </c>
      <c r="K47" s="5" t="str">
        <f>'SAP Results'!K47</f>
        <v>4-1</v>
      </c>
      <c r="L47" s="5">
        <f>'SAP Results'!L47</f>
        <v>0</v>
      </c>
    </row>
    <row r="48" spans="1:12" ht="15.75" hidden="1" customHeight="1">
      <c r="A48" s="6" t="str">
        <f>'SAP Results'!A48</f>
        <v>4</v>
      </c>
      <c r="B48" s="5">
        <f>'SAP Results'!B48</f>
        <v>1.0062500000000001</v>
      </c>
      <c r="C48" s="5" t="str">
        <f>'SAP Results'!C48</f>
        <v>EX</v>
      </c>
      <c r="D48" s="5" t="str">
        <f>'SAP Results'!D48</f>
        <v>LinStatic</v>
      </c>
      <c r="E48" s="5">
        <f>'SAP Results'!E48</f>
        <v>0</v>
      </c>
      <c r="F48" s="5">
        <f>'SAP Results'!F48</f>
        <v>18.693999999999999</v>
      </c>
      <c r="G48" s="5">
        <f>'SAP Results'!G48</f>
        <v>0</v>
      </c>
      <c r="H48" s="5">
        <f>'SAP Results'!H48</f>
        <v>0</v>
      </c>
      <c r="I48" s="5">
        <f>'SAP Results'!I48</f>
        <v>0</v>
      </c>
      <c r="J48" s="5">
        <f>'SAP Results'!J48</f>
        <v>67.094200000000001</v>
      </c>
      <c r="K48" s="5" t="str">
        <f>'SAP Results'!K48</f>
        <v>4-1</v>
      </c>
      <c r="L48" s="5">
        <f>'SAP Results'!L48</f>
        <v>1.0062500000000001</v>
      </c>
    </row>
    <row r="49" spans="1:12" ht="15.75" hidden="1" customHeight="1">
      <c r="A49" s="6" t="str">
        <f>'SAP Results'!A49</f>
        <v>4</v>
      </c>
      <c r="B49" s="5">
        <f>'SAP Results'!B49</f>
        <v>2.0125000000000002</v>
      </c>
      <c r="C49" s="5" t="str">
        <f>'SAP Results'!C49</f>
        <v>EX</v>
      </c>
      <c r="D49" s="5" t="str">
        <f>'SAP Results'!D49</f>
        <v>LinStatic</v>
      </c>
      <c r="E49" s="5">
        <f>'SAP Results'!E49</f>
        <v>0</v>
      </c>
      <c r="F49" s="5">
        <f>'SAP Results'!F49</f>
        <v>18.693999999999999</v>
      </c>
      <c r="G49" s="5">
        <f>'SAP Results'!G49</f>
        <v>0</v>
      </c>
      <c r="H49" s="5">
        <f>'SAP Results'!H49</f>
        <v>0</v>
      </c>
      <c r="I49" s="5">
        <f>'SAP Results'!I49</f>
        <v>0</v>
      </c>
      <c r="J49" s="5">
        <f>'SAP Results'!J49</f>
        <v>48.283700000000003</v>
      </c>
      <c r="K49" s="5" t="str">
        <f>'SAP Results'!K49</f>
        <v>4-1</v>
      </c>
      <c r="L49" s="5">
        <f>'SAP Results'!L49</f>
        <v>2.0125000000000002</v>
      </c>
    </row>
    <row r="50" spans="1:12" ht="15.75" hidden="1" customHeight="1">
      <c r="A50" s="6" t="str">
        <f>'SAP Results'!A50</f>
        <v>4</v>
      </c>
      <c r="B50" s="5">
        <f>'SAP Results'!B50</f>
        <v>3.0187499999999998</v>
      </c>
      <c r="C50" s="5" t="str">
        <f>'SAP Results'!C50</f>
        <v>EX</v>
      </c>
      <c r="D50" s="5" t="str">
        <f>'SAP Results'!D50</f>
        <v>LinStatic</v>
      </c>
      <c r="E50" s="5">
        <f>'SAP Results'!E50</f>
        <v>0</v>
      </c>
      <c r="F50" s="5">
        <f>'SAP Results'!F50</f>
        <v>18.693999999999999</v>
      </c>
      <c r="G50" s="5">
        <f>'SAP Results'!G50</f>
        <v>0</v>
      </c>
      <c r="H50" s="5">
        <f>'SAP Results'!H50</f>
        <v>0</v>
      </c>
      <c r="I50" s="5">
        <f>'SAP Results'!I50</f>
        <v>0</v>
      </c>
      <c r="J50" s="5">
        <f>'SAP Results'!J50</f>
        <v>29.473199999999999</v>
      </c>
      <c r="K50" s="5" t="str">
        <f>'SAP Results'!K50</f>
        <v>4-1</v>
      </c>
      <c r="L50" s="5">
        <f>'SAP Results'!L50</f>
        <v>3.0187499999999998</v>
      </c>
    </row>
    <row r="51" spans="1:12" ht="15.75" hidden="1" customHeight="1">
      <c r="A51" s="6" t="str">
        <f>'SAP Results'!A51</f>
        <v>4</v>
      </c>
      <c r="B51" s="5">
        <f>'SAP Results'!B51</f>
        <v>4.0250000000000004</v>
      </c>
      <c r="C51" s="5" t="str">
        <f>'SAP Results'!C51</f>
        <v>EX</v>
      </c>
      <c r="D51" s="5" t="str">
        <f>'SAP Results'!D51</f>
        <v>LinStatic</v>
      </c>
      <c r="E51" s="5">
        <f>'SAP Results'!E51</f>
        <v>0</v>
      </c>
      <c r="F51" s="5">
        <f>'SAP Results'!F51</f>
        <v>18.693999999999999</v>
      </c>
      <c r="G51" s="5">
        <f>'SAP Results'!G51</f>
        <v>0</v>
      </c>
      <c r="H51" s="5">
        <f>'SAP Results'!H51</f>
        <v>0</v>
      </c>
      <c r="I51" s="5">
        <f>'SAP Results'!I51</f>
        <v>0</v>
      </c>
      <c r="J51" s="5">
        <f>'SAP Results'!J51</f>
        <v>10.662599999999999</v>
      </c>
      <c r="K51" s="5" t="str">
        <f>'SAP Results'!K51</f>
        <v>4-1</v>
      </c>
      <c r="L51" s="5">
        <f>'SAP Results'!L51</f>
        <v>4.0250000000000004</v>
      </c>
    </row>
    <row r="52" spans="1:12" ht="15.75" hidden="1" customHeight="1">
      <c r="A52" s="6" t="str">
        <f>'SAP Results'!A52</f>
        <v>4</v>
      </c>
      <c r="B52" s="5">
        <f>'SAP Results'!B52</f>
        <v>5.03125</v>
      </c>
      <c r="C52" s="5" t="str">
        <f>'SAP Results'!C52</f>
        <v>EX</v>
      </c>
      <c r="D52" s="5" t="str">
        <f>'SAP Results'!D52</f>
        <v>LinStatic</v>
      </c>
      <c r="E52" s="5">
        <f>'SAP Results'!E52</f>
        <v>0</v>
      </c>
      <c r="F52" s="5">
        <f>'SAP Results'!F52</f>
        <v>18.693999999999999</v>
      </c>
      <c r="G52" s="5">
        <f>'SAP Results'!G52</f>
        <v>0</v>
      </c>
      <c r="H52" s="5">
        <f>'SAP Results'!H52</f>
        <v>0</v>
      </c>
      <c r="I52" s="5">
        <f>'SAP Results'!I52</f>
        <v>0</v>
      </c>
      <c r="J52" s="5">
        <f>'SAP Results'!J52</f>
        <v>-8.1478999999999999</v>
      </c>
      <c r="K52" s="5" t="str">
        <f>'SAP Results'!K52</f>
        <v>4-1</v>
      </c>
      <c r="L52" s="5">
        <f>'SAP Results'!L52</f>
        <v>5.03125</v>
      </c>
    </row>
    <row r="53" spans="1:12" ht="15.75" hidden="1" customHeight="1">
      <c r="A53" s="6" t="str">
        <f>'SAP Results'!A53</f>
        <v>4</v>
      </c>
      <c r="B53" s="5">
        <f>'SAP Results'!B53</f>
        <v>6.0374999999999996</v>
      </c>
      <c r="C53" s="5" t="str">
        <f>'SAP Results'!C53</f>
        <v>EX</v>
      </c>
      <c r="D53" s="5" t="str">
        <f>'SAP Results'!D53</f>
        <v>LinStatic</v>
      </c>
      <c r="E53" s="5">
        <f>'SAP Results'!E53</f>
        <v>0</v>
      </c>
      <c r="F53" s="5">
        <f>'SAP Results'!F53</f>
        <v>18.693999999999999</v>
      </c>
      <c r="G53" s="5">
        <f>'SAP Results'!G53</f>
        <v>0</v>
      </c>
      <c r="H53" s="5">
        <f>'SAP Results'!H53</f>
        <v>0</v>
      </c>
      <c r="I53" s="5">
        <f>'SAP Results'!I53</f>
        <v>0</v>
      </c>
      <c r="J53" s="5">
        <f>'SAP Results'!J53</f>
        <v>-26.958400000000001</v>
      </c>
      <c r="K53" s="5" t="str">
        <f>'SAP Results'!K53</f>
        <v>4-1</v>
      </c>
      <c r="L53" s="5">
        <f>'SAP Results'!L53</f>
        <v>6.0374999999999996</v>
      </c>
    </row>
    <row r="54" spans="1:12" ht="15.75" hidden="1" customHeight="1">
      <c r="A54" s="6" t="str">
        <f>'SAP Results'!A54</f>
        <v>4</v>
      </c>
      <c r="B54" s="5">
        <f>'SAP Results'!B54</f>
        <v>7.0437500000000002</v>
      </c>
      <c r="C54" s="5" t="str">
        <f>'SAP Results'!C54</f>
        <v>EX</v>
      </c>
      <c r="D54" s="5" t="str">
        <f>'SAP Results'!D54</f>
        <v>LinStatic</v>
      </c>
      <c r="E54" s="5">
        <f>'SAP Results'!E54</f>
        <v>0</v>
      </c>
      <c r="F54" s="5">
        <f>'SAP Results'!F54</f>
        <v>18.693999999999999</v>
      </c>
      <c r="G54" s="5">
        <f>'SAP Results'!G54</f>
        <v>0</v>
      </c>
      <c r="H54" s="5">
        <f>'SAP Results'!H54</f>
        <v>0</v>
      </c>
      <c r="I54" s="5">
        <f>'SAP Results'!I54</f>
        <v>0</v>
      </c>
      <c r="J54" s="5">
        <f>'SAP Results'!J54</f>
        <v>-45.768900000000002</v>
      </c>
      <c r="K54" s="5" t="str">
        <f>'SAP Results'!K54</f>
        <v>4-1</v>
      </c>
      <c r="L54" s="5">
        <f>'SAP Results'!L54</f>
        <v>7.0437500000000002</v>
      </c>
    </row>
    <row r="55" spans="1:12" ht="15.75" hidden="1" customHeight="1">
      <c r="A55" s="6" t="str">
        <f>'SAP Results'!A55</f>
        <v>4</v>
      </c>
      <c r="B55" s="5">
        <f>'SAP Results'!B55</f>
        <v>8.0500000000000007</v>
      </c>
      <c r="C55" s="5" t="str">
        <f>'SAP Results'!C55</f>
        <v>EX</v>
      </c>
      <c r="D55" s="5" t="str">
        <f>'SAP Results'!D55</f>
        <v>LinStatic</v>
      </c>
      <c r="E55" s="5">
        <f>'SAP Results'!E55</f>
        <v>0</v>
      </c>
      <c r="F55" s="5">
        <f>'SAP Results'!F55</f>
        <v>18.693999999999999</v>
      </c>
      <c r="G55" s="5">
        <f>'SAP Results'!G55</f>
        <v>0</v>
      </c>
      <c r="H55" s="5">
        <f>'SAP Results'!H55</f>
        <v>0</v>
      </c>
      <c r="I55" s="5">
        <f>'SAP Results'!I55</f>
        <v>0</v>
      </c>
      <c r="J55" s="5">
        <f>'SAP Results'!J55</f>
        <v>-64.579499999999996</v>
      </c>
      <c r="K55" s="5" t="str">
        <f>'SAP Results'!K55</f>
        <v>4-1</v>
      </c>
      <c r="L55" s="5">
        <f>'SAP Results'!L55</f>
        <v>8.0500000000000007</v>
      </c>
    </row>
    <row r="56" spans="1:12" ht="15.75" customHeight="1">
      <c r="A56" s="6" t="str">
        <f>'SAP Results'!A56</f>
        <v>4</v>
      </c>
      <c r="B56" s="5">
        <f>'SAP Results'!B56</f>
        <v>0</v>
      </c>
      <c r="C56" s="5" t="str">
        <f>'SAP Results'!C56</f>
        <v>G-1</v>
      </c>
      <c r="D56" s="5" t="str">
        <f>'SAP Results'!D56</f>
        <v>LinStatic</v>
      </c>
      <c r="E56" s="5">
        <f>'SAP Results'!E56</f>
        <v>0</v>
      </c>
      <c r="F56" s="5">
        <f>'SAP Results'!F56</f>
        <v>-152.78200000000001</v>
      </c>
      <c r="G56" s="5">
        <f>'SAP Results'!G56</f>
        <v>0</v>
      </c>
      <c r="H56" s="5">
        <f>'SAP Results'!H56</f>
        <v>0</v>
      </c>
      <c r="I56" s="5">
        <f>'SAP Results'!I56</f>
        <v>0</v>
      </c>
      <c r="J56" s="5">
        <f>'SAP Results'!J56</f>
        <v>-124.8822</v>
      </c>
      <c r="K56" s="5" t="str">
        <f>'SAP Results'!K56</f>
        <v>4-1</v>
      </c>
      <c r="L56" s="5">
        <f>'SAP Results'!L56</f>
        <v>0</v>
      </c>
    </row>
    <row r="57" spans="1:12" ht="15.75" customHeight="1">
      <c r="A57" s="6" t="str">
        <f>'SAP Results'!A57</f>
        <v>4</v>
      </c>
      <c r="B57" s="5">
        <f>'SAP Results'!B57</f>
        <v>1.0062500000000001</v>
      </c>
      <c r="C57" s="5" t="str">
        <f>'SAP Results'!C57</f>
        <v>G-1</v>
      </c>
      <c r="D57" s="5" t="str">
        <f>'SAP Results'!D57</f>
        <v>LinStatic</v>
      </c>
      <c r="E57" s="5">
        <f>'SAP Results'!E57</f>
        <v>0</v>
      </c>
      <c r="F57" s="5">
        <f>'SAP Results'!F57</f>
        <v>-112.642</v>
      </c>
      <c r="G57" s="5">
        <f>'SAP Results'!G57</f>
        <v>0</v>
      </c>
      <c r="H57" s="5">
        <f>'SAP Results'!H57</f>
        <v>0</v>
      </c>
      <c r="I57" s="5">
        <f>'SAP Results'!I57</f>
        <v>0</v>
      </c>
      <c r="J57" s="5">
        <f>'SAP Results'!J57</f>
        <v>8.6593</v>
      </c>
      <c r="K57" s="5" t="str">
        <f>'SAP Results'!K57</f>
        <v>4-1</v>
      </c>
      <c r="L57" s="5">
        <f>'SAP Results'!L57</f>
        <v>1.0062500000000001</v>
      </c>
    </row>
    <row r="58" spans="1:12" ht="15.75" customHeight="1">
      <c r="A58" s="6" t="str">
        <f>'SAP Results'!A58</f>
        <v>4</v>
      </c>
      <c r="B58" s="5">
        <f>'SAP Results'!B58</f>
        <v>2.0125000000000002</v>
      </c>
      <c r="C58" s="5" t="str">
        <f>'SAP Results'!C58</f>
        <v>G-1</v>
      </c>
      <c r="D58" s="5" t="str">
        <f>'SAP Results'!D58</f>
        <v>LinStatic</v>
      </c>
      <c r="E58" s="5">
        <f>'SAP Results'!E58</f>
        <v>0</v>
      </c>
      <c r="F58" s="5">
        <f>'SAP Results'!F58</f>
        <v>-72.503</v>
      </c>
      <c r="G58" s="5">
        <f>'SAP Results'!G58</f>
        <v>0</v>
      </c>
      <c r="H58" s="5">
        <f>'SAP Results'!H58</f>
        <v>0</v>
      </c>
      <c r="I58" s="5">
        <f>'SAP Results'!I58</f>
        <v>0</v>
      </c>
      <c r="J58" s="5">
        <f>'SAP Results'!J58</f>
        <v>101.81059999999999</v>
      </c>
      <c r="K58" s="5" t="str">
        <f>'SAP Results'!K58</f>
        <v>4-1</v>
      </c>
      <c r="L58" s="5">
        <f>'SAP Results'!L58</f>
        <v>2.0125000000000002</v>
      </c>
    </row>
    <row r="59" spans="1:12" ht="15.75" customHeight="1">
      <c r="A59" s="6" t="str">
        <f>'SAP Results'!A59</f>
        <v>4</v>
      </c>
      <c r="B59" s="5">
        <f>'SAP Results'!B59</f>
        <v>3.0187499999999998</v>
      </c>
      <c r="C59" s="5" t="str">
        <f>'SAP Results'!C59</f>
        <v>G-1</v>
      </c>
      <c r="D59" s="5" t="str">
        <f>'SAP Results'!D59</f>
        <v>LinStatic</v>
      </c>
      <c r="E59" s="5">
        <f>'SAP Results'!E59</f>
        <v>0</v>
      </c>
      <c r="F59" s="5">
        <f>'SAP Results'!F59</f>
        <v>-32.363999999999997</v>
      </c>
      <c r="G59" s="5">
        <f>'SAP Results'!G59</f>
        <v>0</v>
      </c>
      <c r="H59" s="5">
        <f>'SAP Results'!H59</f>
        <v>0</v>
      </c>
      <c r="I59" s="5">
        <f>'SAP Results'!I59</f>
        <v>0</v>
      </c>
      <c r="J59" s="5">
        <f>'SAP Results'!J59</f>
        <v>154.5718</v>
      </c>
      <c r="K59" s="5" t="str">
        <f>'SAP Results'!K59</f>
        <v>4-1</v>
      </c>
      <c r="L59" s="5">
        <f>'SAP Results'!L59</f>
        <v>3.0187499999999998</v>
      </c>
    </row>
    <row r="60" spans="1:12" ht="15.75" customHeight="1">
      <c r="A60" s="6" t="str">
        <f>'SAP Results'!A60</f>
        <v>4</v>
      </c>
      <c r="B60" s="5">
        <f>'SAP Results'!B60</f>
        <v>4.0250000000000004</v>
      </c>
      <c r="C60" s="5" t="str">
        <f>'SAP Results'!C60</f>
        <v>G-1</v>
      </c>
      <c r="D60" s="5" t="str">
        <f>'SAP Results'!D60</f>
        <v>LinStatic</v>
      </c>
      <c r="E60" s="5">
        <f>'SAP Results'!E60</f>
        <v>0</v>
      </c>
      <c r="F60" s="5">
        <f>'SAP Results'!F60</f>
        <v>7.7759999999999998</v>
      </c>
      <c r="G60" s="5">
        <f>'SAP Results'!G60</f>
        <v>0</v>
      </c>
      <c r="H60" s="5">
        <f>'SAP Results'!H60</f>
        <v>0</v>
      </c>
      <c r="I60" s="5">
        <f>'SAP Results'!I60</f>
        <v>0</v>
      </c>
      <c r="J60" s="5">
        <f>'SAP Results'!J60</f>
        <v>166.9427</v>
      </c>
      <c r="K60" s="5" t="str">
        <f>'SAP Results'!K60</f>
        <v>4-1</v>
      </c>
      <c r="L60" s="5">
        <f>'SAP Results'!L60</f>
        <v>4.0250000000000004</v>
      </c>
    </row>
    <row r="61" spans="1:12" ht="15.75" customHeight="1">
      <c r="A61" s="6" t="str">
        <f>'SAP Results'!A61</f>
        <v>4</v>
      </c>
      <c r="B61" s="5">
        <f>'SAP Results'!B61</f>
        <v>5.03125</v>
      </c>
      <c r="C61" s="5" t="str">
        <f>'SAP Results'!C61</f>
        <v>G-1</v>
      </c>
      <c r="D61" s="5" t="str">
        <f>'SAP Results'!D61</f>
        <v>LinStatic</v>
      </c>
      <c r="E61" s="5">
        <f>'SAP Results'!E61</f>
        <v>0</v>
      </c>
      <c r="F61" s="5">
        <f>'SAP Results'!F61</f>
        <v>47.914999999999999</v>
      </c>
      <c r="G61" s="5">
        <f>'SAP Results'!G61</f>
        <v>0</v>
      </c>
      <c r="H61" s="5">
        <f>'SAP Results'!H61</f>
        <v>0</v>
      </c>
      <c r="I61" s="5">
        <f>'SAP Results'!I61</f>
        <v>0</v>
      </c>
      <c r="J61" s="5">
        <f>'SAP Results'!J61</f>
        <v>138.92349999999999</v>
      </c>
      <c r="K61" s="5" t="str">
        <f>'SAP Results'!K61</f>
        <v>4-1</v>
      </c>
      <c r="L61" s="5">
        <f>'SAP Results'!L61</f>
        <v>5.03125</v>
      </c>
    </row>
    <row r="62" spans="1:12" ht="15.75" customHeight="1">
      <c r="A62" s="6" t="str">
        <f>'SAP Results'!A62</f>
        <v>4</v>
      </c>
      <c r="B62" s="5">
        <f>'SAP Results'!B62</f>
        <v>6.0374999999999996</v>
      </c>
      <c r="C62" s="5" t="str">
        <f>'SAP Results'!C62</f>
        <v>G-1</v>
      </c>
      <c r="D62" s="5" t="str">
        <f>'SAP Results'!D62</f>
        <v>LinStatic</v>
      </c>
      <c r="E62" s="5">
        <f>'SAP Results'!E62</f>
        <v>0</v>
      </c>
      <c r="F62" s="5">
        <f>'SAP Results'!F62</f>
        <v>88.054000000000002</v>
      </c>
      <c r="G62" s="5">
        <f>'SAP Results'!G62</f>
        <v>0</v>
      </c>
      <c r="H62" s="5">
        <f>'SAP Results'!H62</f>
        <v>0</v>
      </c>
      <c r="I62" s="5">
        <f>'SAP Results'!I62</f>
        <v>0</v>
      </c>
      <c r="J62" s="5">
        <f>'SAP Results'!J62</f>
        <v>70.514099999999999</v>
      </c>
      <c r="K62" s="5" t="str">
        <f>'SAP Results'!K62</f>
        <v>4-1</v>
      </c>
      <c r="L62" s="5">
        <f>'SAP Results'!L62</f>
        <v>6.0374999999999996</v>
      </c>
    </row>
    <row r="63" spans="1:12" ht="15.75" customHeight="1">
      <c r="A63" s="6" t="str">
        <f>'SAP Results'!A63</f>
        <v>4</v>
      </c>
      <c r="B63" s="5">
        <f>'SAP Results'!B63</f>
        <v>7.0437500000000002</v>
      </c>
      <c r="C63" s="5" t="str">
        <f>'SAP Results'!C63</f>
        <v>G-1</v>
      </c>
      <c r="D63" s="5" t="str">
        <f>'SAP Results'!D63</f>
        <v>LinStatic</v>
      </c>
      <c r="E63" s="5">
        <f>'SAP Results'!E63</f>
        <v>0</v>
      </c>
      <c r="F63" s="5">
        <f>'SAP Results'!F63</f>
        <v>128.19300000000001</v>
      </c>
      <c r="G63" s="5">
        <f>'SAP Results'!G63</f>
        <v>0</v>
      </c>
      <c r="H63" s="5">
        <f>'SAP Results'!H63</f>
        <v>0</v>
      </c>
      <c r="I63" s="5">
        <f>'SAP Results'!I63</f>
        <v>0</v>
      </c>
      <c r="J63" s="5">
        <f>'SAP Results'!J63</f>
        <v>-38.285499999999999</v>
      </c>
      <c r="K63" s="5" t="str">
        <f>'SAP Results'!K63</f>
        <v>4-1</v>
      </c>
      <c r="L63" s="5">
        <f>'SAP Results'!L63</f>
        <v>7.0437500000000002</v>
      </c>
    </row>
    <row r="64" spans="1:12" ht="15.75" customHeight="1">
      <c r="A64" s="6" t="str">
        <f>'SAP Results'!A64</f>
        <v>4</v>
      </c>
      <c r="B64" s="5">
        <f>'SAP Results'!B64</f>
        <v>8.0500000000000007</v>
      </c>
      <c r="C64" s="5" t="str">
        <f>'SAP Results'!C64</f>
        <v>G-1</v>
      </c>
      <c r="D64" s="5" t="str">
        <f>'SAP Results'!D64</f>
        <v>LinStatic</v>
      </c>
      <c r="E64" s="5">
        <f>'SAP Results'!E64</f>
        <v>0</v>
      </c>
      <c r="F64" s="5">
        <f>'SAP Results'!F64</f>
        <v>168.333</v>
      </c>
      <c r="G64" s="5">
        <f>'SAP Results'!G64</f>
        <v>0</v>
      </c>
      <c r="H64" s="5">
        <f>'SAP Results'!H64</f>
        <v>0</v>
      </c>
      <c r="I64" s="5">
        <f>'SAP Results'!I64</f>
        <v>0</v>
      </c>
      <c r="J64" s="5">
        <f>'SAP Results'!J64</f>
        <v>-187.4752</v>
      </c>
      <c r="K64" s="5" t="str">
        <f>'SAP Results'!K64</f>
        <v>4-1</v>
      </c>
      <c r="L64" s="5">
        <f>'SAP Results'!L64</f>
        <v>8.0500000000000007</v>
      </c>
    </row>
    <row r="65" spans="1:12" ht="15.75" hidden="1" customHeight="1">
      <c r="A65" s="6" t="str">
        <f>'SAP Results'!A65</f>
        <v>4</v>
      </c>
      <c r="B65" s="5">
        <f>'SAP Results'!B65</f>
        <v>0</v>
      </c>
      <c r="C65" s="5" t="str">
        <f>'SAP Results'!C65</f>
        <v>G-2</v>
      </c>
      <c r="D65" s="5" t="str">
        <f>'SAP Results'!D65</f>
        <v>LinStatic</v>
      </c>
      <c r="E65" s="5">
        <f>'SAP Results'!E65</f>
        <v>0</v>
      </c>
      <c r="F65" s="5">
        <f>'SAP Results'!F65</f>
        <v>10.212999999999999</v>
      </c>
      <c r="G65" s="5">
        <f>'SAP Results'!G65</f>
        <v>0</v>
      </c>
      <c r="H65" s="5">
        <f>'SAP Results'!H65</f>
        <v>0</v>
      </c>
      <c r="I65" s="5">
        <f>'SAP Results'!I65</f>
        <v>0</v>
      </c>
      <c r="J65" s="5">
        <f>'SAP Results'!J65</f>
        <v>10.154299999999999</v>
      </c>
      <c r="K65" s="5" t="str">
        <f>'SAP Results'!K65</f>
        <v>4-1</v>
      </c>
      <c r="L65" s="5">
        <f>'SAP Results'!L65</f>
        <v>0</v>
      </c>
    </row>
    <row r="66" spans="1:12" ht="15.75" hidden="1" customHeight="1">
      <c r="A66" s="6" t="str">
        <f>'SAP Results'!A66</f>
        <v>4</v>
      </c>
      <c r="B66" s="5">
        <f>'SAP Results'!B66</f>
        <v>1.0062500000000001</v>
      </c>
      <c r="C66" s="5" t="str">
        <f>'SAP Results'!C66</f>
        <v>G-2</v>
      </c>
      <c r="D66" s="5" t="str">
        <f>'SAP Results'!D66</f>
        <v>LinStatic</v>
      </c>
      <c r="E66" s="5">
        <f>'SAP Results'!E66</f>
        <v>0</v>
      </c>
      <c r="F66" s="5">
        <f>'SAP Results'!F66</f>
        <v>10.212999999999999</v>
      </c>
      <c r="G66" s="5">
        <f>'SAP Results'!G66</f>
        <v>0</v>
      </c>
      <c r="H66" s="5">
        <f>'SAP Results'!H66</f>
        <v>0</v>
      </c>
      <c r="I66" s="5">
        <f>'SAP Results'!I66</f>
        <v>0</v>
      </c>
      <c r="J66" s="5">
        <f>'SAP Results'!J66</f>
        <v>-0.1227</v>
      </c>
      <c r="K66" s="5" t="str">
        <f>'SAP Results'!K66</f>
        <v>4-1</v>
      </c>
      <c r="L66" s="5">
        <f>'SAP Results'!L66</f>
        <v>1.0062500000000001</v>
      </c>
    </row>
    <row r="67" spans="1:12" ht="15.75" hidden="1" customHeight="1">
      <c r="A67" s="6" t="str">
        <f>'SAP Results'!A67</f>
        <v>4</v>
      </c>
      <c r="B67" s="5">
        <f>'SAP Results'!B67</f>
        <v>2.0125000000000002</v>
      </c>
      <c r="C67" s="5" t="str">
        <f>'SAP Results'!C67</f>
        <v>G-2</v>
      </c>
      <c r="D67" s="5" t="str">
        <f>'SAP Results'!D67</f>
        <v>LinStatic</v>
      </c>
      <c r="E67" s="5">
        <f>'SAP Results'!E67</f>
        <v>0</v>
      </c>
      <c r="F67" s="5">
        <f>'SAP Results'!F67</f>
        <v>10.212999999999999</v>
      </c>
      <c r="G67" s="5">
        <f>'SAP Results'!G67</f>
        <v>0</v>
      </c>
      <c r="H67" s="5">
        <f>'SAP Results'!H67</f>
        <v>0</v>
      </c>
      <c r="I67" s="5">
        <f>'SAP Results'!I67</f>
        <v>0</v>
      </c>
      <c r="J67" s="5">
        <f>'SAP Results'!J67</f>
        <v>-10.399800000000001</v>
      </c>
      <c r="K67" s="5" t="str">
        <f>'SAP Results'!K67</f>
        <v>4-1</v>
      </c>
      <c r="L67" s="5">
        <f>'SAP Results'!L67</f>
        <v>2.0125000000000002</v>
      </c>
    </row>
    <row r="68" spans="1:12" ht="15.75" hidden="1" customHeight="1">
      <c r="A68" s="6" t="str">
        <f>'SAP Results'!A68</f>
        <v>4</v>
      </c>
      <c r="B68" s="5">
        <f>'SAP Results'!B68</f>
        <v>3.0187499999999998</v>
      </c>
      <c r="C68" s="5" t="str">
        <f>'SAP Results'!C68</f>
        <v>G-2</v>
      </c>
      <c r="D68" s="5" t="str">
        <f>'SAP Results'!D68</f>
        <v>LinStatic</v>
      </c>
      <c r="E68" s="5">
        <f>'SAP Results'!E68</f>
        <v>0</v>
      </c>
      <c r="F68" s="5">
        <f>'SAP Results'!F68</f>
        <v>10.212999999999999</v>
      </c>
      <c r="G68" s="5">
        <f>'SAP Results'!G68</f>
        <v>0</v>
      </c>
      <c r="H68" s="5">
        <f>'SAP Results'!H68</f>
        <v>0</v>
      </c>
      <c r="I68" s="5">
        <f>'SAP Results'!I68</f>
        <v>0</v>
      </c>
      <c r="J68" s="5">
        <f>'SAP Results'!J68</f>
        <v>-20.6768</v>
      </c>
      <c r="K68" s="5" t="str">
        <f>'SAP Results'!K68</f>
        <v>4-1</v>
      </c>
      <c r="L68" s="5">
        <f>'SAP Results'!L68</f>
        <v>3.0187499999999998</v>
      </c>
    </row>
    <row r="69" spans="1:12" ht="15.75" hidden="1" customHeight="1">
      <c r="A69" s="6" t="str">
        <f>'SAP Results'!A69</f>
        <v>4</v>
      </c>
      <c r="B69" s="5">
        <f>'SAP Results'!B69</f>
        <v>4.0250000000000004</v>
      </c>
      <c r="C69" s="5" t="str">
        <f>'SAP Results'!C69</f>
        <v>G-2</v>
      </c>
      <c r="D69" s="5" t="str">
        <f>'SAP Results'!D69</f>
        <v>LinStatic</v>
      </c>
      <c r="E69" s="5">
        <f>'SAP Results'!E69</f>
        <v>0</v>
      </c>
      <c r="F69" s="5">
        <f>'SAP Results'!F69</f>
        <v>10.212999999999999</v>
      </c>
      <c r="G69" s="5">
        <f>'SAP Results'!G69</f>
        <v>0</v>
      </c>
      <c r="H69" s="5">
        <f>'SAP Results'!H69</f>
        <v>0</v>
      </c>
      <c r="I69" s="5">
        <f>'SAP Results'!I69</f>
        <v>0</v>
      </c>
      <c r="J69" s="5">
        <f>'SAP Results'!J69</f>
        <v>-30.953800000000001</v>
      </c>
      <c r="K69" s="5" t="str">
        <f>'SAP Results'!K69</f>
        <v>4-1</v>
      </c>
      <c r="L69" s="5">
        <f>'SAP Results'!L69</f>
        <v>4.0250000000000004</v>
      </c>
    </row>
    <row r="70" spans="1:12" ht="15.75" hidden="1" customHeight="1">
      <c r="A70" s="6" t="str">
        <f>'SAP Results'!A70</f>
        <v>4</v>
      </c>
      <c r="B70" s="5">
        <f>'SAP Results'!B70</f>
        <v>5.03125</v>
      </c>
      <c r="C70" s="5" t="str">
        <f>'SAP Results'!C70</f>
        <v>G-2</v>
      </c>
      <c r="D70" s="5" t="str">
        <f>'SAP Results'!D70</f>
        <v>LinStatic</v>
      </c>
      <c r="E70" s="5">
        <f>'SAP Results'!E70</f>
        <v>0</v>
      </c>
      <c r="F70" s="5">
        <f>'SAP Results'!F70</f>
        <v>10.212999999999999</v>
      </c>
      <c r="G70" s="5">
        <f>'SAP Results'!G70</f>
        <v>0</v>
      </c>
      <c r="H70" s="5">
        <f>'SAP Results'!H70</f>
        <v>0</v>
      </c>
      <c r="I70" s="5">
        <f>'SAP Results'!I70</f>
        <v>0</v>
      </c>
      <c r="J70" s="5">
        <f>'SAP Results'!J70</f>
        <v>-41.230899999999998</v>
      </c>
      <c r="K70" s="5" t="str">
        <f>'SAP Results'!K70</f>
        <v>4-1</v>
      </c>
      <c r="L70" s="5">
        <f>'SAP Results'!L70</f>
        <v>5.03125</v>
      </c>
    </row>
    <row r="71" spans="1:12" ht="15.75" hidden="1" customHeight="1">
      <c r="A71" s="6" t="str">
        <f>'SAP Results'!A71</f>
        <v>4</v>
      </c>
      <c r="B71" s="5">
        <f>'SAP Results'!B71</f>
        <v>6.0374999999999996</v>
      </c>
      <c r="C71" s="5" t="str">
        <f>'SAP Results'!C71</f>
        <v>G-2</v>
      </c>
      <c r="D71" s="5" t="str">
        <f>'SAP Results'!D71</f>
        <v>LinStatic</v>
      </c>
      <c r="E71" s="5">
        <f>'SAP Results'!E71</f>
        <v>0</v>
      </c>
      <c r="F71" s="5">
        <f>'SAP Results'!F71</f>
        <v>10.212999999999999</v>
      </c>
      <c r="G71" s="5">
        <f>'SAP Results'!G71</f>
        <v>0</v>
      </c>
      <c r="H71" s="5">
        <f>'SAP Results'!H71</f>
        <v>0</v>
      </c>
      <c r="I71" s="5">
        <f>'SAP Results'!I71</f>
        <v>0</v>
      </c>
      <c r="J71" s="5">
        <f>'SAP Results'!J71</f>
        <v>-51.507899999999999</v>
      </c>
      <c r="K71" s="5" t="str">
        <f>'SAP Results'!K71</f>
        <v>4-1</v>
      </c>
      <c r="L71" s="5">
        <f>'SAP Results'!L71</f>
        <v>6.0374999999999996</v>
      </c>
    </row>
    <row r="72" spans="1:12" ht="15.75" hidden="1" customHeight="1">
      <c r="A72" s="6" t="str">
        <f>'SAP Results'!A72</f>
        <v>4</v>
      </c>
      <c r="B72" s="5">
        <f>'SAP Results'!B72</f>
        <v>7.0437500000000002</v>
      </c>
      <c r="C72" s="5" t="str">
        <f>'SAP Results'!C72</f>
        <v>G-2</v>
      </c>
      <c r="D72" s="5" t="str">
        <f>'SAP Results'!D72</f>
        <v>LinStatic</v>
      </c>
      <c r="E72" s="5">
        <f>'SAP Results'!E72</f>
        <v>0</v>
      </c>
      <c r="F72" s="5">
        <f>'SAP Results'!F72</f>
        <v>10.212999999999999</v>
      </c>
      <c r="G72" s="5">
        <f>'SAP Results'!G72</f>
        <v>0</v>
      </c>
      <c r="H72" s="5">
        <f>'SAP Results'!H72</f>
        <v>0</v>
      </c>
      <c r="I72" s="5">
        <f>'SAP Results'!I72</f>
        <v>0</v>
      </c>
      <c r="J72" s="5">
        <f>'SAP Results'!J72</f>
        <v>-61.784999999999997</v>
      </c>
      <c r="K72" s="5" t="str">
        <f>'SAP Results'!K72</f>
        <v>4-1</v>
      </c>
      <c r="L72" s="5">
        <f>'SAP Results'!L72</f>
        <v>7.0437500000000002</v>
      </c>
    </row>
    <row r="73" spans="1:12" ht="15.75" hidden="1" customHeight="1">
      <c r="A73" s="6" t="str">
        <f>'SAP Results'!A73</f>
        <v>4</v>
      </c>
      <c r="B73" s="5">
        <f>'SAP Results'!B73</f>
        <v>8.0500000000000007</v>
      </c>
      <c r="C73" s="5" t="str">
        <f>'SAP Results'!C73</f>
        <v>G-2</v>
      </c>
      <c r="D73" s="5" t="str">
        <f>'SAP Results'!D73</f>
        <v>LinStatic</v>
      </c>
      <c r="E73" s="5">
        <f>'SAP Results'!E73</f>
        <v>0</v>
      </c>
      <c r="F73" s="5">
        <f>'SAP Results'!F73</f>
        <v>10.212999999999999</v>
      </c>
      <c r="G73" s="5">
        <f>'SAP Results'!G73</f>
        <v>0</v>
      </c>
      <c r="H73" s="5">
        <f>'SAP Results'!H73</f>
        <v>0</v>
      </c>
      <c r="I73" s="5">
        <f>'SAP Results'!I73</f>
        <v>0</v>
      </c>
      <c r="J73" s="5">
        <f>'SAP Results'!J73</f>
        <v>-72.061999999999998</v>
      </c>
      <c r="K73" s="5" t="str">
        <f>'SAP Results'!K73</f>
        <v>4-1</v>
      </c>
      <c r="L73" s="5">
        <f>'SAP Results'!L73</f>
        <v>8.0500000000000007</v>
      </c>
    </row>
    <row r="74" spans="1:12" ht="15.75" hidden="1" customHeight="1">
      <c r="A74" s="6" t="str">
        <f>'SAP Results'!A74</f>
        <v>4</v>
      </c>
      <c r="B74" s="5">
        <f>'SAP Results'!B74</f>
        <v>0</v>
      </c>
      <c r="C74" s="5" t="str">
        <f>'SAP Results'!C74</f>
        <v>Q-1</v>
      </c>
      <c r="D74" s="5" t="str">
        <f>'SAP Results'!D74</f>
        <v>LinStatic</v>
      </c>
      <c r="E74" s="5">
        <f>'SAP Results'!E74</f>
        <v>0</v>
      </c>
      <c r="F74" s="5">
        <f>'SAP Results'!F74</f>
        <v>-77.08</v>
      </c>
      <c r="G74" s="5">
        <f>'SAP Results'!G74</f>
        <v>0</v>
      </c>
      <c r="H74" s="5">
        <f>'SAP Results'!H74</f>
        <v>0</v>
      </c>
      <c r="I74" s="5">
        <f>'SAP Results'!I74</f>
        <v>0</v>
      </c>
      <c r="J74" s="5">
        <f>'SAP Results'!J74</f>
        <v>-63.004600000000003</v>
      </c>
      <c r="K74" s="5" t="str">
        <f>'SAP Results'!K74</f>
        <v>4-1</v>
      </c>
      <c r="L74" s="5">
        <f>'SAP Results'!L74</f>
        <v>0</v>
      </c>
    </row>
    <row r="75" spans="1:12" ht="15.75" hidden="1" customHeight="1">
      <c r="A75" s="6" t="str">
        <f>'SAP Results'!A75</f>
        <v>4</v>
      </c>
      <c r="B75" s="5">
        <f>'SAP Results'!B75</f>
        <v>1.0062500000000001</v>
      </c>
      <c r="C75" s="5" t="str">
        <f>'SAP Results'!C75</f>
        <v>Q-1</v>
      </c>
      <c r="D75" s="5" t="str">
        <f>'SAP Results'!D75</f>
        <v>LinStatic</v>
      </c>
      <c r="E75" s="5">
        <f>'SAP Results'!E75</f>
        <v>0</v>
      </c>
      <c r="F75" s="5">
        <f>'SAP Results'!F75</f>
        <v>-56.829000000000001</v>
      </c>
      <c r="G75" s="5">
        <f>'SAP Results'!G75</f>
        <v>0</v>
      </c>
      <c r="H75" s="5">
        <f>'SAP Results'!H75</f>
        <v>0</v>
      </c>
      <c r="I75" s="5">
        <f>'SAP Results'!I75</f>
        <v>0</v>
      </c>
      <c r="J75" s="5">
        <f>'SAP Results'!J75</f>
        <v>4.3686999999999996</v>
      </c>
      <c r="K75" s="5" t="str">
        <f>'SAP Results'!K75</f>
        <v>4-1</v>
      </c>
      <c r="L75" s="5">
        <f>'SAP Results'!L75</f>
        <v>1.0062500000000001</v>
      </c>
    </row>
    <row r="76" spans="1:12" ht="15.75" hidden="1" customHeight="1">
      <c r="A76" s="6" t="str">
        <f>'SAP Results'!A76</f>
        <v>4</v>
      </c>
      <c r="B76" s="5">
        <f>'SAP Results'!B76</f>
        <v>2.0125000000000002</v>
      </c>
      <c r="C76" s="5" t="str">
        <f>'SAP Results'!C76</f>
        <v>Q-1</v>
      </c>
      <c r="D76" s="5" t="str">
        <f>'SAP Results'!D76</f>
        <v>LinStatic</v>
      </c>
      <c r="E76" s="5">
        <f>'SAP Results'!E76</f>
        <v>0</v>
      </c>
      <c r="F76" s="5">
        <f>'SAP Results'!F76</f>
        <v>-36.579000000000001</v>
      </c>
      <c r="G76" s="5">
        <f>'SAP Results'!G76</f>
        <v>0</v>
      </c>
      <c r="H76" s="5">
        <f>'SAP Results'!H76</f>
        <v>0</v>
      </c>
      <c r="I76" s="5">
        <f>'SAP Results'!I76</f>
        <v>0</v>
      </c>
      <c r="J76" s="5">
        <f>'SAP Results'!J76</f>
        <v>51.364699999999999</v>
      </c>
      <c r="K76" s="5" t="str">
        <f>'SAP Results'!K76</f>
        <v>4-1</v>
      </c>
      <c r="L76" s="5">
        <f>'SAP Results'!L76</f>
        <v>2.0125000000000002</v>
      </c>
    </row>
    <row r="77" spans="1:12" ht="15.75" hidden="1" customHeight="1">
      <c r="A77" s="6" t="str">
        <f>'SAP Results'!A77</f>
        <v>4</v>
      </c>
      <c r="B77" s="5">
        <f>'SAP Results'!B77</f>
        <v>3.0187499999999998</v>
      </c>
      <c r="C77" s="5" t="str">
        <f>'SAP Results'!C77</f>
        <v>Q-1</v>
      </c>
      <c r="D77" s="5" t="str">
        <f>'SAP Results'!D77</f>
        <v>LinStatic</v>
      </c>
      <c r="E77" s="5">
        <f>'SAP Results'!E77</f>
        <v>0</v>
      </c>
      <c r="F77" s="5">
        <f>'SAP Results'!F77</f>
        <v>-16.327999999999999</v>
      </c>
      <c r="G77" s="5">
        <f>'SAP Results'!G77</f>
        <v>0</v>
      </c>
      <c r="H77" s="5">
        <f>'SAP Results'!H77</f>
        <v>0</v>
      </c>
      <c r="I77" s="5">
        <f>'SAP Results'!I77</f>
        <v>0</v>
      </c>
      <c r="J77" s="5">
        <f>'SAP Results'!J77</f>
        <v>77.983400000000003</v>
      </c>
      <c r="K77" s="5" t="str">
        <f>'SAP Results'!K77</f>
        <v>4-1</v>
      </c>
      <c r="L77" s="5">
        <f>'SAP Results'!L77</f>
        <v>3.0187499999999998</v>
      </c>
    </row>
    <row r="78" spans="1:12" ht="15.75" hidden="1" customHeight="1">
      <c r="A78" s="6" t="str">
        <f>'SAP Results'!A78</f>
        <v>4</v>
      </c>
      <c r="B78" s="5">
        <f>'SAP Results'!B78</f>
        <v>4.0250000000000004</v>
      </c>
      <c r="C78" s="5" t="str">
        <f>'SAP Results'!C78</f>
        <v>Q-1</v>
      </c>
      <c r="D78" s="5" t="str">
        <f>'SAP Results'!D78</f>
        <v>LinStatic</v>
      </c>
      <c r="E78" s="5">
        <f>'SAP Results'!E78</f>
        <v>0</v>
      </c>
      <c r="F78" s="5">
        <f>'SAP Results'!F78</f>
        <v>3.923</v>
      </c>
      <c r="G78" s="5">
        <f>'SAP Results'!G78</f>
        <v>0</v>
      </c>
      <c r="H78" s="5">
        <f>'SAP Results'!H78</f>
        <v>0</v>
      </c>
      <c r="I78" s="5">
        <f>'SAP Results'!I78</f>
        <v>0</v>
      </c>
      <c r="J78" s="5">
        <f>'SAP Results'!J78</f>
        <v>84.224699999999999</v>
      </c>
      <c r="K78" s="5" t="str">
        <f>'SAP Results'!K78</f>
        <v>4-1</v>
      </c>
      <c r="L78" s="5">
        <f>'SAP Results'!L78</f>
        <v>4.0250000000000004</v>
      </c>
    </row>
    <row r="79" spans="1:12" ht="15.75" hidden="1" customHeight="1">
      <c r="A79" s="6" t="str">
        <f>'SAP Results'!A79</f>
        <v>4</v>
      </c>
      <c r="B79" s="5">
        <f>'SAP Results'!B79</f>
        <v>5.03125</v>
      </c>
      <c r="C79" s="5" t="str">
        <f>'SAP Results'!C79</f>
        <v>Q-1</v>
      </c>
      <c r="D79" s="5" t="str">
        <f>'SAP Results'!D79</f>
        <v>LinStatic</v>
      </c>
      <c r="E79" s="5">
        <f>'SAP Results'!E79</f>
        <v>0</v>
      </c>
      <c r="F79" s="5">
        <f>'SAP Results'!F79</f>
        <v>24.173999999999999</v>
      </c>
      <c r="G79" s="5">
        <f>'SAP Results'!G79</f>
        <v>0</v>
      </c>
      <c r="H79" s="5">
        <f>'SAP Results'!H79</f>
        <v>0</v>
      </c>
      <c r="I79" s="5">
        <f>'SAP Results'!I79</f>
        <v>0</v>
      </c>
      <c r="J79" s="5">
        <f>'SAP Results'!J79</f>
        <v>70.0886</v>
      </c>
      <c r="K79" s="5" t="str">
        <f>'SAP Results'!K79</f>
        <v>4-1</v>
      </c>
      <c r="L79" s="5">
        <f>'SAP Results'!L79</f>
        <v>5.03125</v>
      </c>
    </row>
    <row r="80" spans="1:12" ht="15.75" hidden="1" customHeight="1">
      <c r="A80" s="6" t="str">
        <f>'SAP Results'!A80</f>
        <v>4</v>
      </c>
      <c r="B80" s="5">
        <f>'SAP Results'!B80</f>
        <v>6.0374999999999996</v>
      </c>
      <c r="C80" s="5" t="str">
        <f>'SAP Results'!C80</f>
        <v>Q-1</v>
      </c>
      <c r="D80" s="5" t="str">
        <f>'SAP Results'!D80</f>
        <v>LinStatic</v>
      </c>
      <c r="E80" s="5">
        <f>'SAP Results'!E80</f>
        <v>0</v>
      </c>
      <c r="F80" s="5">
        <f>'SAP Results'!F80</f>
        <v>44.423999999999999</v>
      </c>
      <c r="G80" s="5">
        <f>'SAP Results'!G80</f>
        <v>0</v>
      </c>
      <c r="H80" s="5">
        <f>'SAP Results'!H80</f>
        <v>0</v>
      </c>
      <c r="I80" s="5">
        <f>'SAP Results'!I80</f>
        <v>0</v>
      </c>
      <c r="J80" s="5">
        <f>'SAP Results'!J80</f>
        <v>35.575299999999999</v>
      </c>
      <c r="K80" s="5" t="str">
        <f>'SAP Results'!K80</f>
        <v>4-1</v>
      </c>
      <c r="L80" s="5">
        <f>'SAP Results'!L80</f>
        <v>6.0374999999999996</v>
      </c>
    </row>
    <row r="81" spans="1:12" ht="15.75" hidden="1" customHeight="1">
      <c r="A81" s="6" t="str">
        <f>'SAP Results'!A81</f>
        <v>4</v>
      </c>
      <c r="B81" s="5">
        <f>'SAP Results'!B81</f>
        <v>7.0437500000000002</v>
      </c>
      <c r="C81" s="5" t="str">
        <f>'SAP Results'!C81</f>
        <v>Q-1</v>
      </c>
      <c r="D81" s="5" t="str">
        <f>'SAP Results'!D81</f>
        <v>LinStatic</v>
      </c>
      <c r="E81" s="5">
        <f>'SAP Results'!E81</f>
        <v>0</v>
      </c>
      <c r="F81" s="5">
        <f>'SAP Results'!F81</f>
        <v>64.674999999999997</v>
      </c>
      <c r="G81" s="5">
        <f>'SAP Results'!G81</f>
        <v>0</v>
      </c>
      <c r="H81" s="5">
        <f>'SAP Results'!H81</f>
        <v>0</v>
      </c>
      <c r="I81" s="5">
        <f>'SAP Results'!I81</f>
        <v>0</v>
      </c>
      <c r="J81" s="5">
        <f>'SAP Results'!J81</f>
        <v>-19.3155</v>
      </c>
      <c r="K81" s="5" t="str">
        <f>'SAP Results'!K81</f>
        <v>4-1</v>
      </c>
      <c r="L81" s="5">
        <f>'SAP Results'!L81</f>
        <v>7.0437500000000002</v>
      </c>
    </row>
    <row r="82" spans="1:12" ht="15.75" hidden="1" customHeight="1">
      <c r="A82" s="6" t="str">
        <f>'SAP Results'!A82</f>
        <v>4</v>
      </c>
      <c r="B82" s="5">
        <f>'SAP Results'!B82</f>
        <v>8.0500000000000007</v>
      </c>
      <c r="C82" s="5" t="str">
        <f>'SAP Results'!C82</f>
        <v>Q-1</v>
      </c>
      <c r="D82" s="5" t="str">
        <f>'SAP Results'!D82</f>
        <v>LinStatic</v>
      </c>
      <c r="E82" s="5">
        <f>'SAP Results'!E82</f>
        <v>0</v>
      </c>
      <c r="F82" s="5">
        <f>'SAP Results'!F82</f>
        <v>84.926000000000002</v>
      </c>
      <c r="G82" s="5">
        <f>'SAP Results'!G82</f>
        <v>0</v>
      </c>
      <c r="H82" s="5">
        <f>'SAP Results'!H82</f>
        <v>0</v>
      </c>
      <c r="I82" s="5">
        <f>'SAP Results'!I82</f>
        <v>0</v>
      </c>
      <c r="J82" s="5">
        <f>'SAP Results'!J82</f>
        <v>-94.583600000000004</v>
      </c>
      <c r="K82" s="5" t="str">
        <f>'SAP Results'!K82</f>
        <v>4-1</v>
      </c>
      <c r="L82" s="5">
        <f>'SAP Results'!L82</f>
        <v>8.0500000000000007</v>
      </c>
    </row>
    <row r="83" spans="1:12" ht="15.75" hidden="1" customHeight="1">
      <c r="A83" s="6" t="str">
        <f>'SAP Results'!A83</f>
        <v>4</v>
      </c>
      <c r="B83" s="5">
        <f>'SAP Results'!B83</f>
        <v>0</v>
      </c>
      <c r="C83" s="5" t="str">
        <f>'SAP Results'!C83</f>
        <v>Q-2</v>
      </c>
      <c r="D83" s="5" t="str">
        <f>'SAP Results'!D83</f>
        <v>LinStatic</v>
      </c>
      <c r="E83" s="5">
        <f>'SAP Results'!E83</f>
        <v>0</v>
      </c>
      <c r="F83" s="5">
        <f>'SAP Results'!F83</f>
        <v>5.1529999999999996</v>
      </c>
      <c r="G83" s="5">
        <f>'SAP Results'!G83</f>
        <v>0</v>
      </c>
      <c r="H83" s="5">
        <f>'SAP Results'!H83</f>
        <v>0</v>
      </c>
      <c r="I83" s="5">
        <f>'SAP Results'!I83</f>
        <v>0</v>
      </c>
      <c r="J83" s="5">
        <f>'SAP Results'!J83</f>
        <v>5.1230000000000002</v>
      </c>
      <c r="K83" s="5" t="str">
        <f>'SAP Results'!K83</f>
        <v>4-1</v>
      </c>
      <c r="L83" s="5">
        <f>'SAP Results'!L83</f>
        <v>0</v>
      </c>
    </row>
    <row r="84" spans="1:12" ht="15.75" hidden="1" customHeight="1">
      <c r="A84" s="6" t="str">
        <f>'SAP Results'!A84</f>
        <v>4</v>
      </c>
      <c r="B84" s="5">
        <f>'SAP Results'!B84</f>
        <v>1.0062500000000001</v>
      </c>
      <c r="C84" s="5" t="str">
        <f>'SAP Results'!C84</f>
        <v>Q-2</v>
      </c>
      <c r="D84" s="5" t="str">
        <f>'SAP Results'!D84</f>
        <v>LinStatic</v>
      </c>
      <c r="E84" s="5">
        <f>'SAP Results'!E84</f>
        <v>0</v>
      </c>
      <c r="F84" s="5">
        <f>'SAP Results'!F84</f>
        <v>5.1529999999999996</v>
      </c>
      <c r="G84" s="5">
        <f>'SAP Results'!G84</f>
        <v>0</v>
      </c>
      <c r="H84" s="5">
        <f>'SAP Results'!H84</f>
        <v>0</v>
      </c>
      <c r="I84" s="5">
        <f>'SAP Results'!I84</f>
        <v>0</v>
      </c>
      <c r="J84" s="5">
        <f>'SAP Results'!J84</f>
        <v>-6.1899999999999997E-2</v>
      </c>
      <c r="K84" s="5" t="str">
        <f>'SAP Results'!K84</f>
        <v>4-1</v>
      </c>
      <c r="L84" s="5">
        <f>'SAP Results'!L84</f>
        <v>1.0062500000000001</v>
      </c>
    </row>
    <row r="85" spans="1:12" ht="15.75" hidden="1" customHeight="1">
      <c r="A85" s="6" t="str">
        <f>'SAP Results'!A85</f>
        <v>4</v>
      </c>
      <c r="B85" s="5">
        <f>'SAP Results'!B85</f>
        <v>2.0125000000000002</v>
      </c>
      <c r="C85" s="5" t="str">
        <f>'SAP Results'!C85</f>
        <v>Q-2</v>
      </c>
      <c r="D85" s="5" t="str">
        <f>'SAP Results'!D85</f>
        <v>LinStatic</v>
      </c>
      <c r="E85" s="5">
        <f>'SAP Results'!E85</f>
        <v>0</v>
      </c>
      <c r="F85" s="5">
        <f>'SAP Results'!F85</f>
        <v>5.1529999999999996</v>
      </c>
      <c r="G85" s="5">
        <f>'SAP Results'!G85</f>
        <v>0</v>
      </c>
      <c r="H85" s="5">
        <f>'SAP Results'!H85</f>
        <v>0</v>
      </c>
      <c r="I85" s="5">
        <f>'SAP Results'!I85</f>
        <v>0</v>
      </c>
      <c r="J85" s="5">
        <f>'SAP Results'!J85</f>
        <v>-5.2468000000000004</v>
      </c>
      <c r="K85" s="5" t="str">
        <f>'SAP Results'!K85</f>
        <v>4-1</v>
      </c>
      <c r="L85" s="5">
        <f>'SAP Results'!L85</f>
        <v>2.0125000000000002</v>
      </c>
    </row>
    <row r="86" spans="1:12" ht="15.75" hidden="1" customHeight="1">
      <c r="A86" s="6" t="str">
        <f>'SAP Results'!A86</f>
        <v>4</v>
      </c>
      <c r="B86" s="5">
        <f>'SAP Results'!B86</f>
        <v>3.0187499999999998</v>
      </c>
      <c r="C86" s="5" t="str">
        <f>'SAP Results'!C86</f>
        <v>Q-2</v>
      </c>
      <c r="D86" s="5" t="str">
        <f>'SAP Results'!D86</f>
        <v>LinStatic</v>
      </c>
      <c r="E86" s="5">
        <f>'SAP Results'!E86</f>
        <v>0</v>
      </c>
      <c r="F86" s="5">
        <f>'SAP Results'!F86</f>
        <v>5.1529999999999996</v>
      </c>
      <c r="G86" s="5">
        <f>'SAP Results'!G86</f>
        <v>0</v>
      </c>
      <c r="H86" s="5">
        <f>'SAP Results'!H86</f>
        <v>0</v>
      </c>
      <c r="I86" s="5">
        <f>'SAP Results'!I86</f>
        <v>0</v>
      </c>
      <c r="J86" s="5">
        <f>'SAP Results'!J86</f>
        <v>-10.431699999999999</v>
      </c>
      <c r="K86" s="5" t="str">
        <f>'SAP Results'!K86</f>
        <v>4-1</v>
      </c>
      <c r="L86" s="5">
        <f>'SAP Results'!L86</f>
        <v>3.0187499999999998</v>
      </c>
    </row>
    <row r="87" spans="1:12" ht="15.75" hidden="1" customHeight="1">
      <c r="A87" s="6" t="str">
        <f>'SAP Results'!A87</f>
        <v>4</v>
      </c>
      <c r="B87" s="5">
        <f>'SAP Results'!B87</f>
        <v>4.0250000000000004</v>
      </c>
      <c r="C87" s="5" t="str">
        <f>'SAP Results'!C87</f>
        <v>Q-2</v>
      </c>
      <c r="D87" s="5" t="str">
        <f>'SAP Results'!D87</f>
        <v>LinStatic</v>
      </c>
      <c r="E87" s="5">
        <f>'SAP Results'!E87</f>
        <v>0</v>
      </c>
      <c r="F87" s="5">
        <f>'SAP Results'!F87</f>
        <v>5.1529999999999996</v>
      </c>
      <c r="G87" s="5">
        <f>'SAP Results'!G87</f>
        <v>0</v>
      </c>
      <c r="H87" s="5">
        <f>'SAP Results'!H87</f>
        <v>0</v>
      </c>
      <c r="I87" s="5">
        <f>'SAP Results'!I87</f>
        <v>0</v>
      </c>
      <c r="J87" s="5">
        <f>'SAP Results'!J87</f>
        <v>-15.6166</v>
      </c>
      <c r="K87" s="5" t="str">
        <f>'SAP Results'!K87</f>
        <v>4-1</v>
      </c>
      <c r="L87" s="5">
        <f>'SAP Results'!L87</f>
        <v>4.0250000000000004</v>
      </c>
    </row>
    <row r="88" spans="1:12" ht="15.75" hidden="1" customHeight="1">
      <c r="A88" s="6" t="str">
        <f>'SAP Results'!A88</f>
        <v>4</v>
      </c>
      <c r="B88" s="5">
        <f>'SAP Results'!B88</f>
        <v>5.03125</v>
      </c>
      <c r="C88" s="5" t="str">
        <f>'SAP Results'!C88</f>
        <v>Q-2</v>
      </c>
      <c r="D88" s="5" t="str">
        <f>'SAP Results'!D88</f>
        <v>LinStatic</v>
      </c>
      <c r="E88" s="5">
        <f>'SAP Results'!E88</f>
        <v>0</v>
      </c>
      <c r="F88" s="5">
        <f>'SAP Results'!F88</f>
        <v>5.1529999999999996</v>
      </c>
      <c r="G88" s="5">
        <f>'SAP Results'!G88</f>
        <v>0</v>
      </c>
      <c r="H88" s="5">
        <f>'SAP Results'!H88</f>
        <v>0</v>
      </c>
      <c r="I88" s="5">
        <f>'SAP Results'!I88</f>
        <v>0</v>
      </c>
      <c r="J88" s="5">
        <f>'SAP Results'!J88</f>
        <v>-20.801500000000001</v>
      </c>
      <c r="K88" s="5" t="str">
        <f>'SAP Results'!K88</f>
        <v>4-1</v>
      </c>
      <c r="L88" s="5">
        <f>'SAP Results'!L88</f>
        <v>5.03125</v>
      </c>
    </row>
    <row r="89" spans="1:12" ht="15.75" hidden="1" customHeight="1">
      <c r="A89" s="6" t="str">
        <f>'SAP Results'!A89</f>
        <v>4</v>
      </c>
      <c r="B89" s="5">
        <f>'SAP Results'!B89</f>
        <v>6.0374999999999996</v>
      </c>
      <c r="C89" s="5" t="str">
        <f>'SAP Results'!C89</f>
        <v>Q-2</v>
      </c>
      <c r="D89" s="5" t="str">
        <f>'SAP Results'!D89</f>
        <v>LinStatic</v>
      </c>
      <c r="E89" s="5">
        <f>'SAP Results'!E89</f>
        <v>0</v>
      </c>
      <c r="F89" s="5">
        <f>'SAP Results'!F89</f>
        <v>5.1529999999999996</v>
      </c>
      <c r="G89" s="5">
        <f>'SAP Results'!G89</f>
        <v>0</v>
      </c>
      <c r="H89" s="5">
        <f>'SAP Results'!H89</f>
        <v>0</v>
      </c>
      <c r="I89" s="5">
        <f>'SAP Results'!I89</f>
        <v>0</v>
      </c>
      <c r="J89" s="5">
        <f>'SAP Results'!J89</f>
        <v>-25.9864</v>
      </c>
      <c r="K89" s="5" t="str">
        <f>'SAP Results'!K89</f>
        <v>4-1</v>
      </c>
      <c r="L89" s="5">
        <f>'SAP Results'!L89</f>
        <v>6.0374999999999996</v>
      </c>
    </row>
    <row r="90" spans="1:12" ht="15.75" hidden="1" customHeight="1">
      <c r="A90" s="6" t="str">
        <f>'SAP Results'!A90</f>
        <v>4</v>
      </c>
      <c r="B90" s="5">
        <f>'SAP Results'!B90</f>
        <v>7.0437500000000002</v>
      </c>
      <c r="C90" s="5" t="str">
        <f>'SAP Results'!C90</f>
        <v>Q-2</v>
      </c>
      <c r="D90" s="5" t="str">
        <f>'SAP Results'!D90</f>
        <v>LinStatic</v>
      </c>
      <c r="E90" s="5">
        <f>'SAP Results'!E90</f>
        <v>0</v>
      </c>
      <c r="F90" s="5">
        <f>'SAP Results'!F90</f>
        <v>5.1529999999999996</v>
      </c>
      <c r="G90" s="5">
        <f>'SAP Results'!G90</f>
        <v>0</v>
      </c>
      <c r="H90" s="5">
        <f>'SAP Results'!H90</f>
        <v>0</v>
      </c>
      <c r="I90" s="5">
        <f>'SAP Results'!I90</f>
        <v>0</v>
      </c>
      <c r="J90" s="5">
        <f>'SAP Results'!J90</f>
        <v>-31.171299999999999</v>
      </c>
      <c r="K90" s="5" t="str">
        <f>'SAP Results'!K90</f>
        <v>4-1</v>
      </c>
      <c r="L90" s="5">
        <f>'SAP Results'!L90</f>
        <v>7.0437500000000002</v>
      </c>
    </row>
    <row r="91" spans="1:12" ht="15.75" hidden="1" customHeight="1">
      <c r="A91" s="6" t="str">
        <f>'SAP Results'!A91</f>
        <v>4</v>
      </c>
      <c r="B91" s="5">
        <f>'SAP Results'!B91</f>
        <v>8.0500000000000007</v>
      </c>
      <c r="C91" s="5" t="str">
        <f>'SAP Results'!C91</f>
        <v>Q-2</v>
      </c>
      <c r="D91" s="5" t="str">
        <f>'SAP Results'!D91</f>
        <v>LinStatic</v>
      </c>
      <c r="E91" s="5">
        <f>'SAP Results'!E91</f>
        <v>0</v>
      </c>
      <c r="F91" s="5">
        <f>'SAP Results'!F91</f>
        <v>5.1529999999999996</v>
      </c>
      <c r="G91" s="5">
        <f>'SAP Results'!G91</f>
        <v>0</v>
      </c>
      <c r="H91" s="5">
        <f>'SAP Results'!H91</f>
        <v>0</v>
      </c>
      <c r="I91" s="5">
        <f>'SAP Results'!I91</f>
        <v>0</v>
      </c>
      <c r="J91" s="5">
        <f>'SAP Results'!J91</f>
        <v>-36.356200000000001</v>
      </c>
      <c r="K91" s="5" t="str">
        <f>'SAP Results'!K91</f>
        <v>4-1</v>
      </c>
      <c r="L91" s="5">
        <f>'SAP Results'!L91</f>
        <v>8.0500000000000007</v>
      </c>
    </row>
    <row r="92" spans="1:12" ht="15.75" hidden="1" customHeight="1">
      <c r="A92" s="6" t="str">
        <f>'SAP Results'!A92</f>
        <v>5</v>
      </c>
      <c r="B92" s="5">
        <f>'SAP Results'!B92</f>
        <v>0</v>
      </c>
      <c r="C92" s="5" t="str">
        <f>'SAP Results'!C92</f>
        <v>EX</v>
      </c>
      <c r="D92" s="5" t="str">
        <f>'SAP Results'!D92</f>
        <v>LinStatic</v>
      </c>
      <c r="E92" s="5">
        <f>'SAP Results'!E92</f>
        <v>0</v>
      </c>
      <c r="F92" s="5">
        <f>'SAP Results'!F92</f>
        <v>18.693999999999999</v>
      </c>
      <c r="G92" s="5">
        <f>'SAP Results'!G92</f>
        <v>0</v>
      </c>
      <c r="H92" s="5">
        <f>'SAP Results'!H92</f>
        <v>0</v>
      </c>
      <c r="I92" s="5">
        <f>'SAP Results'!I92</f>
        <v>0</v>
      </c>
      <c r="J92" s="5">
        <f>'SAP Results'!J92</f>
        <v>64.579499999999996</v>
      </c>
      <c r="K92" s="5" t="str">
        <f>'SAP Results'!K92</f>
        <v>5-1</v>
      </c>
      <c r="L92" s="5">
        <f>'SAP Results'!L92</f>
        <v>0</v>
      </c>
    </row>
    <row r="93" spans="1:12" ht="15.75" hidden="1" customHeight="1">
      <c r="A93" s="6" t="str">
        <f>'SAP Results'!A93</f>
        <v>5</v>
      </c>
      <c r="B93" s="5">
        <f>'SAP Results'!B93</f>
        <v>1.0062500000000001</v>
      </c>
      <c r="C93" s="5" t="str">
        <f>'SAP Results'!C93</f>
        <v>EX</v>
      </c>
      <c r="D93" s="5" t="str">
        <f>'SAP Results'!D93</f>
        <v>LinStatic</v>
      </c>
      <c r="E93" s="5">
        <f>'SAP Results'!E93</f>
        <v>0</v>
      </c>
      <c r="F93" s="5">
        <f>'SAP Results'!F93</f>
        <v>18.693999999999999</v>
      </c>
      <c r="G93" s="5">
        <f>'SAP Results'!G93</f>
        <v>0</v>
      </c>
      <c r="H93" s="5">
        <f>'SAP Results'!H93</f>
        <v>0</v>
      </c>
      <c r="I93" s="5">
        <f>'SAP Results'!I93</f>
        <v>0</v>
      </c>
      <c r="J93" s="5">
        <f>'SAP Results'!J93</f>
        <v>45.768900000000002</v>
      </c>
      <c r="K93" s="5" t="str">
        <f>'SAP Results'!K93</f>
        <v>5-1</v>
      </c>
      <c r="L93" s="5">
        <f>'SAP Results'!L93</f>
        <v>1.0062500000000001</v>
      </c>
    </row>
    <row r="94" spans="1:12" ht="15.75" hidden="1" customHeight="1">
      <c r="A94" s="6" t="str">
        <f>'SAP Results'!A94</f>
        <v>5</v>
      </c>
      <c r="B94" s="5">
        <f>'SAP Results'!B94</f>
        <v>2.0125000000000002</v>
      </c>
      <c r="C94" s="5" t="str">
        <f>'SAP Results'!C94</f>
        <v>EX</v>
      </c>
      <c r="D94" s="5" t="str">
        <f>'SAP Results'!D94</f>
        <v>LinStatic</v>
      </c>
      <c r="E94" s="5">
        <f>'SAP Results'!E94</f>
        <v>0</v>
      </c>
      <c r="F94" s="5">
        <f>'SAP Results'!F94</f>
        <v>18.693999999999999</v>
      </c>
      <c r="G94" s="5">
        <f>'SAP Results'!G94</f>
        <v>0</v>
      </c>
      <c r="H94" s="5">
        <f>'SAP Results'!H94</f>
        <v>0</v>
      </c>
      <c r="I94" s="5">
        <f>'SAP Results'!I94</f>
        <v>0</v>
      </c>
      <c r="J94" s="5">
        <f>'SAP Results'!J94</f>
        <v>26.958400000000001</v>
      </c>
      <c r="K94" s="5" t="str">
        <f>'SAP Results'!K94</f>
        <v>5-1</v>
      </c>
      <c r="L94" s="5">
        <f>'SAP Results'!L94</f>
        <v>2.0125000000000002</v>
      </c>
    </row>
    <row r="95" spans="1:12" ht="15.75" hidden="1" customHeight="1">
      <c r="A95" s="6" t="str">
        <f>'SAP Results'!A95</f>
        <v>5</v>
      </c>
      <c r="B95" s="5">
        <f>'SAP Results'!B95</f>
        <v>3.0187499999999998</v>
      </c>
      <c r="C95" s="5" t="str">
        <f>'SAP Results'!C95</f>
        <v>EX</v>
      </c>
      <c r="D95" s="5" t="str">
        <f>'SAP Results'!D95</f>
        <v>LinStatic</v>
      </c>
      <c r="E95" s="5">
        <f>'SAP Results'!E95</f>
        <v>0</v>
      </c>
      <c r="F95" s="5">
        <f>'SAP Results'!F95</f>
        <v>18.693999999999999</v>
      </c>
      <c r="G95" s="5">
        <f>'SAP Results'!G95</f>
        <v>0</v>
      </c>
      <c r="H95" s="5">
        <f>'SAP Results'!H95</f>
        <v>0</v>
      </c>
      <c r="I95" s="5">
        <f>'SAP Results'!I95</f>
        <v>0</v>
      </c>
      <c r="J95" s="5">
        <f>'SAP Results'!J95</f>
        <v>8.1478999999999999</v>
      </c>
      <c r="K95" s="5" t="str">
        <f>'SAP Results'!K95</f>
        <v>5-1</v>
      </c>
      <c r="L95" s="5">
        <f>'SAP Results'!L95</f>
        <v>3.0187499999999998</v>
      </c>
    </row>
    <row r="96" spans="1:12" ht="15.75" hidden="1" customHeight="1">
      <c r="A96" s="6" t="str">
        <f>'SAP Results'!A96</f>
        <v>5</v>
      </c>
      <c r="B96" s="5">
        <f>'SAP Results'!B96</f>
        <v>4.0250000000000004</v>
      </c>
      <c r="C96" s="5" t="str">
        <f>'SAP Results'!C96</f>
        <v>EX</v>
      </c>
      <c r="D96" s="5" t="str">
        <f>'SAP Results'!D96</f>
        <v>LinStatic</v>
      </c>
      <c r="E96" s="5">
        <f>'SAP Results'!E96</f>
        <v>0</v>
      </c>
      <c r="F96" s="5">
        <f>'SAP Results'!F96</f>
        <v>18.693999999999999</v>
      </c>
      <c r="G96" s="5">
        <f>'SAP Results'!G96</f>
        <v>0</v>
      </c>
      <c r="H96" s="5">
        <f>'SAP Results'!H96</f>
        <v>0</v>
      </c>
      <c r="I96" s="5">
        <f>'SAP Results'!I96</f>
        <v>0</v>
      </c>
      <c r="J96" s="5">
        <f>'SAP Results'!J96</f>
        <v>-10.662599999999999</v>
      </c>
      <c r="K96" s="5" t="str">
        <f>'SAP Results'!K96</f>
        <v>5-1</v>
      </c>
      <c r="L96" s="5">
        <f>'SAP Results'!L96</f>
        <v>4.0250000000000004</v>
      </c>
    </row>
    <row r="97" spans="1:12" ht="15.75" hidden="1" customHeight="1">
      <c r="A97" s="6" t="str">
        <f>'SAP Results'!A97</f>
        <v>5</v>
      </c>
      <c r="B97" s="5">
        <f>'SAP Results'!B97</f>
        <v>5.03125</v>
      </c>
      <c r="C97" s="5" t="str">
        <f>'SAP Results'!C97</f>
        <v>EX</v>
      </c>
      <c r="D97" s="5" t="str">
        <f>'SAP Results'!D97</f>
        <v>LinStatic</v>
      </c>
      <c r="E97" s="5">
        <f>'SAP Results'!E97</f>
        <v>0</v>
      </c>
      <c r="F97" s="5">
        <f>'SAP Results'!F97</f>
        <v>18.693999999999999</v>
      </c>
      <c r="G97" s="5">
        <f>'SAP Results'!G97</f>
        <v>0</v>
      </c>
      <c r="H97" s="5">
        <f>'SAP Results'!H97</f>
        <v>0</v>
      </c>
      <c r="I97" s="5">
        <f>'SAP Results'!I97</f>
        <v>0</v>
      </c>
      <c r="J97" s="5">
        <f>'SAP Results'!J97</f>
        <v>-29.473199999999999</v>
      </c>
      <c r="K97" s="5" t="str">
        <f>'SAP Results'!K97</f>
        <v>5-1</v>
      </c>
      <c r="L97" s="5">
        <f>'SAP Results'!L97</f>
        <v>5.03125</v>
      </c>
    </row>
    <row r="98" spans="1:12" ht="15.75" hidden="1" customHeight="1">
      <c r="A98" s="6" t="str">
        <f>'SAP Results'!A98</f>
        <v>5</v>
      </c>
      <c r="B98" s="5">
        <f>'SAP Results'!B98</f>
        <v>6.0374999999999996</v>
      </c>
      <c r="C98" s="5" t="str">
        <f>'SAP Results'!C98</f>
        <v>EX</v>
      </c>
      <c r="D98" s="5" t="str">
        <f>'SAP Results'!D98</f>
        <v>LinStatic</v>
      </c>
      <c r="E98" s="5">
        <f>'SAP Results'!E98</f>
        <v>0</v>
      </c>
      <c r="F98" s="5">
        <f>'SAP Results'!F98</f>
        <v>18.693999999999999</v>
      </c>
      <c r="G98" s="5">
        <f>'SAP Results'!G98</f>
        <v>0</v>
      </c>
      <c r="H98" s="5">
        <f>'SAP Results'!H98</f>
        <v>0</v>
      </c>
      <c r="I98" s="5">
        <f>'SAP Results'!I98</f>
        <v>0</v>
      </c>
      <c r="J98" s="5">
        <f>'SAP Results'!J98</f>
        <v>-48.283700000000003</v>
      </c>
      <c r="K98" s="5" t="str">
        <f>'SAP Results'!K98</f>
        <v>5-1</v>
      </c>
      <c r="L98" s="5">
        <f>'SAP Results'!L98</f>
        <v>6.0374999999999996</v>
      </c>
    </row>
    <row r="99" spans="1:12" ht="15.75" hidden="1" customHeight="1">
      <c r="A99" s="6" t="str">
        <f>'SAP Results'!A99</f>
        <v>5</v>
      </c>
      <c r="B99" s="5">
        <f>'SAP Results'!B99</f>
        <v>7.0437500000000002</v>
      </c>
      <c r="C99" s="5" t="str">
        <f>'SAP Results'!C99</f>
        <v>EX</v>
      </c>
      <c r="D99" s="5" t="str">
        <f>'SAP Results'!D99</f>
        <v>LinStatic</v>
      </c>
      <c r="E99" s="5">
        <f>'SAP Results'!E99</f>
        <v>0</v>
      </c>
      <c r="F99" s="5">
        <f>'SAP Results'!F99</f>
        <v>18.693999999999999</v>
      </c>
      <c r="G99" s="5">
        <f>'SAP Results'!G99</f>
        <v>0</v>
      </c>
      <c r="H99" s="5">
        <f>'SAP Results'!H99</f>
        <v>0</v>
      </c>
      <c r="I99" s="5">
        <f>'SAP Results'!I99</f>
        <v>0</v>
      </c>
      <c r="J99" s="5">
        <f>'SAP Results'!J99</f>
        <v>-67.094200000000001</v>
      </c>
      <c r="K99" s="5" t="str">
        <f>'SAP Results'!K99</f>
        <v>5-1</v>
      </c>
      <c r="L99" s="5">
        <f>'SAP Results'!L99</f>
        <v>7.0437500000000002</v>
      </c>
    </row>
    <row r="100" spans="1:12" ht="15.75" hidden="1" customHeight="1">
      <c r="A100" s="6" t="str">
        <f>'SAP Results'!A100</f>
        <v>5</v>
      </c>
      <c r="B100" s="5">
        <f>'SAP Results'!B100</f>
        <v>8.0500000000000007</v>
      </c>
      <c r="C100" s="5" t="str">
        <f>'SAP Results'!C100</f>
        <v>EX</v>
      </c>
      <c r="D100" s="5" t="str">
        <f>'SAP Results'!D100</f>
        <v>LinStatic</v>
      </c>
      <c r="E100" s="5">
        <f>'SAP Results'!E100</f>
        <v>0</v>
      </c>
      <c r="F100" s="5">
        <f>'SAP Results'!F100</f>
        <v>18.693999999999999</v>
      </c>
      <c r="G100" s="5">
        <f>'SAP Results'!G100</f>
        <v>0</v>
      </c>
      <c r="H100" s="5">
        <f>'SAP Results'!H100</f>
        <v>0</v>
      </c>
      <c r="I100" s="5">
        <f>'SAP Results'!I100</f>
        <v>0</v>
      </c>
      <c r="J100" s="5">
        <f>'SAP Results'!J100</f>
        <v>-85.904799999999994</v>
      </c>
      <c r="K100" s="5" t="str">
        <f>'SAP Results'!K100</f>
        <v>5-1</v>
      </c>
      <c r="L100" s="5">
        <f>'SAP Results'!L100</f>
        <v>8.0500000000000007</v>
      </c>
    </row>
    <row r="101" spans="1:12" ht="15.75" customHeight="1">
      <c r="A101" s="6" t="str">
        <f>'SAP Results'!A101</f>
        <v>5</v>
      </c>
      <c r="B101" s="5">
        <f>'SAP Results'!B101</f>
        <v>0</v>
      </c>
      <c r="C101" s="5" t="str">
        <f>'SAP Results'!C101</f>
        <v>G-1</v>
      </c>
      <c r="D101" s="5" t="str">
        <f>'SAP Results'!D101</f>
        <v>LinStatic</v>
      </c>
      <c r="E101" s="5">
        <f>'SAP Results'!E101</f>
        <v>0</v>
      </c>
      <c r="F101" s="5">
        <f>'SAP Results'!F101</f>
        <v>-10.212999999999999</v>
      </c>
      <c r="G101" s="5">
        <f>'SAP Results'!G101</f>
        <v>0</v>
      </c>
      <c r="H101" s="5">
        <f>'SAP Results'!H101</f>
        <v>0</v>
      </c>
      <c r="I101" s="5">
        <f>'SAP Results'!I101</f>
        <v>0</v>
      </c>
      <c r="J101" s="5">
        <f>'SAP Results'!J101</f>
        <v>-72.061999999999998</v>
      </c>
      <c r="K101" s="5" t="str">
        <f>'SAP Results'!K101</f>
        <v>5-1</v>
      </c>
      <c r="L101" s="5">
        <f>'SAP Results'!L101</f>
        <v>0</v>
      </c>
    </row>
    <row r="102" spans="1:12" ht="15.75" customHeight="1">
      <c r="A102" s="6" t="str">
        <f>'SAP Results'!A102</f>
        <v>5</v>
      </c>
      <c r="B102" s="5">
        <f>'SAP Results'!B102</f>
        <v>1.0062500000000001</v>
      </c>
      <c r="C102" s="5" t="str">
        <f>'SAP Results'!C102</f>
        <v>G-1</v>
      </c>
      <c r="D102" s="5" t="str">
        <f>'SAP Results'!D102</f>
        <v>LinStatic</v>
      </c>
      <c r="E102" s="5">
        <f>'SAP Results'!E102</f>
        <v>0</v>
      </c>
      <c r="F102" s="5">
        <f>'SAP Results'!F102</f>
        <v>-10.212999999999999</v>
      </c>
      <c r="G102" s="5">
        <f>'SAP Results'!G102</f>
        <v>0</v>
      </c>
      <c r="H102" s="5">
        <f>'SAP Results'!H102</f>
        <v>0</v>
      </c>
      <c r="I102" s="5">
        <f>'SAP Results'!I102</f>
        <v>0</v>
      </c>
      <c r="J102" s="5">
        <f>'SAP Results'!J102</f>
        <v>-61.784999999999997</v>
      </c>
      <c r="K102" s="5" t="str">
        <f>'SAP Results'!K102</f>
        <v>5-1</v>
      </c>
      <c r="L102" s="5">
        <f>'SAP Results'!L102</f>
        <v>1.0062500000000001</v>
      </c>
    </row>
    <row r="103" spans="1:12" ht="15.75" customHeight="1">
      <c r="A103" s="6" t="str">
        <f>'SAP Results'!A103</f>
        <v>5</v>
      </c>
      <c r="B103" s="5">
        <f>'SAP Results'!B103</f>
        <v>2.0125000000000002</v>
      </c>
      <c r="C103" s="5" t="str">
        <f>'SAP Results'!C103</f>
        <v>G-1</v>
      </c>
      <c r="D103" s="5" t="str">
        <f>'SAP Results'!D103</f>
        <v>LinStatic</v>
      </c>
      <c r="E103" s="5">
        <f>'SAP Results'!E103</f>
        <v>0</v>
      </c>
      <c r="F103" s="5">
        <f>'SAP Results'!F103</f>
        <v>-10.212999999999999</v>
      </c>
      <c r="G103" s="5">
        <f>'SAP Results'!G103</f>
        <v>0</v>
      </c>
      <c r="H103" s="5">
        <f>'SAP Results'!H103</f>
        <v>0</v>
      </c>
      <c r="I103" s="5">
        <f>'SAP Results'!I103</f>
        <v>0</v>
      </c>
      <c r="J103" s="5">
        <f>'SAP Results'!J103</f>
        <v>-51.507899999999999</v>
      </c>
      <c r="K103" s="5" t="str">
        <f>'SAP Results'!K103</f>
        <v>5-1</v>
      </c>
      <c r="L103" s="5">
        <f>'SAP Results'!L103</f>
        <v>2.0125000000000002</v>
      </c>
    </row>
    <row r="104" spans="1:12" ht="15.75" customHeight="1">
      <c r="A104" s="6" t="str">
        <f>'SAP Results'!A104</f>
        <v>5</v>
      </c>
      <c r="B104" s="5">
        <f>'SAP Results'!B104</f>
        <v>3.0187499999999998</v>
      </c>
      <c r="C104" s="5" t="str">
        <f>'SAP Results'!C104</f>
        <v>G-1</v>
      </c>
      <c r="D104" s="5" t="str">
        <f>'SAP Results'!D104</f>
        <v>LinStatic</v>
      </c>
      <c r="E104" s="5">
        <f>'SAP Results'!E104</f>
        <v>0</v>
      </c>
      <c r="F104" s="5">
        <f>'SAP Results'!F104</f>
        <v>-10.212999999999999</v>
      </c>
      <c r="G104" s="5">
        <f>'SAP Results'!G104</f>
        <v>0</v>
      </c>
      <c r="H104" s="5">
        <f>'SAP Results'!H104</f>
        <v>0</v>
      </c>
      <c r="I104" s="5">
        <f>'SAP Results'!I104</f>
        <v>0</v>
      </c>
      <c r="J104" s="5">
        <f>'SAP Results'!J104</f>
        <v>-41.230899999999998</v>
      </c>
      <c r="K104" s="5" t="str">
        <f>'SAP Results'!K104</f>
        <v>5-1</v>
      </c>
      <c r="L104" s="5">
        <f>'SAP Results'!L104</f>
        <v>3.0187499999999998</v>
      </c>
    </row>
    <row r="105" spans="1:12" ht="15.75" customHeight="1">
      <c r="A105" s="6" t="str">
        <f>'SAP Results'!A105</f>
        <v>5</v>
      </c>
      <c r="B105" s="5">
        <f>'SAP Results'!B105</f>
        <v>4.0250000000000004</v>
      </c>
      <c r="C105" s="5" t="str">
        <f>'SAP Results'!C105</f>
        <v>G-1</v>
      </c>
      <c r="D105" s="5" t="str">
        <f>'SAP Results'!D105</f>
        <v>LinStatic</v>
      </c>
      <c r="E105" s="5">
        <f>'SAP Results'!E105</f>
        <v>0</v>
      </c>
      <c r="F105" s="5">
        <f>'SAP Results'!F105</f>
        <v>-10.212999999999999</v>
      </c>
      <c r="G105" s="5">
        <f>'SAP Results'!G105</f>
        <v>0</v>
      </c>
      <c r="H105" s="5">
        <f>'SAP Results'!H105</f>
        <v>0</v>
      </c>
      <c r="I105" s="5">
        <f>'SAP Results'!I105</f>
        <v>0</v>
      </c>
      <c r="J105" s="5">
        <f>'SAP Results'!J105</f>
        <v>-30.953800000000001</v>
      </c>
      <c r="K105" s="5" t="str">
        <f>'SAP Results'!K105</f>
        <v>5-1</v>
      </c>
      <c r="L105" s="5">
        <f>'SAP Results'!L105</f>
        <v>4.0250000000000004</v>
      </c>
    </row>
    <row r="106" spans="1:12" ht="15.75" customHeight="1">
      <c r="A106" s="6" t="str">
        <f>'SAP Results'!A106</f>
        <v>5</v>
      </c>
      <c r="B106" s="5">
        <f>'SAP Results'!B106</f>
        <v>5.03125</v>
      </c>
      <c r="C106" s="5" t="str">
        <f>'SAP Results'!C106</f>
        <v>G-1</v>
      </c>
      <c r="D106" s="5" t="str">
        <f>'SAP Results'!D106</f>
        <v>LinStatic</v>
      </c>
      <c r="E106" s="5">
        <f>'SAP Results'!E106</f>
        <v>0</v>
      </c>
      <c r="F106" s="5">
        <f>'SAP Results'!F106</f>
        <v>-10.212999999999999</v>
      </c>
      <c r="G106" s="5">
        <f>'SAP Results'!G106</f>
        <v>0</v>
      </c>
      <c r="H106" s="5">
        <f>'SAP Results'!H106</f>
        <v>0</v>
      </c>
      <c r="I106" s="5">
        <f>'SAP Results'!I106</f>
        <v>0</v>
      </c>
      <c r="J106" s="5">
        <f>'SAP Results'!J106</f>
        <v>-20.6768</v>
      </c>
      <c r="K106" s="5" t="str">
        <f>'SAP Results'!K106</f>
        <v>5-1</v>
      </c>
      <c r="L106" s="5">
        <f>'SAP Results'!L106</f>
        <v>5.03125</v>
      </c>
    </row>
    <row r="107" spans="1:12" ht="15.75" customHeight="1">
      <c r="A107" s="6" t="str">
        <f>'SAP Results'!A107</f>
        <v>5</v>
      </c>
      <c r="B107" s="5">
        <f>'SAP Results'!B107</f>
        <v>6.0374999999999996</v>
      </c>
      <c r="C107" s="5" t="str">
        <f>'SAP Results'!C107</f>
        <v>G-1</v>
      </c>
      <c r="D107" s="5" t="str">
        <f>'SAP Results'!D107</f>
        <v>LinStatic</v>
      </c>
      <c r="E107" s="5">
        <f>'SAP Results'!E107</f>
        <v>0</v>
      </c>
      <c r="F107" s="5">
        <f>'SAP Results'!F107</f>
        <v>-10.212999999999999</v>
      </c>
      <c r="G107" s="5">
        <f>'SAP Results'!G107</f>
        <v>0</v>
      </c>
      <c r="H107" s="5">
        <f>'SAP Results'!H107</f>
        <v>0</v>
      </c>
      <c r="I107" s="5">
        <f>'SAP Results'!I107</f>
        <v>0</v>
      </c>
      <c r="J107" s="5">
        <f>'SAP Results'!J107</f>
        <v>-10.399800000000001</v>
      </c>
      <c r="K107" s="5" t="str">
        <f>'SAP Results'!K107</f>
        <v>5-1</v>
      </c>
      <c r="L107" s="5">
        <f>'SAP Results'!L107</f>
        <v>6.0374999999999996</v>
      </c>
    </row>
    <row r="108" spans="1:12" ht="15.75" customHeight="1">
      <c r="A108" s="6" t="str">
        <f>'SAP Results'!A108</f>
        <v>5</v>
      </c>
      <c r="B108" s="5">
        <f>'SAP Results'!B108</f>
        <v>7.0437500000000002</v>
      </c>
      <c r="C108" s="5" t="str">
        <f>'SAP Results'!C108</f>
        <v>G-1</v>
      </c>
      <c r="D108" s="5" t="str">
        <f>'SAP Results'!D108</f>
        <v>LinStatic</v>
      </c>
      <c r="E108" s="5">
        <f>'SAP Results'!E108</f>
        <v>0</v>
      </c>
      <c r="F108" s="5">
        <f>'SAP Results'!F108</f>
        <v>-10.212999999999999</v>
      </c>
      <c r="G108" s="5">
        <f>'SAP Results'!G108</f>
        <v>0</v>
      </c>
      <c r="H108" s="5">
        <f>'SAP Results'!H108</f>
        <v>0</v>
      </c>
      <c r="I108" s="5">
        <f>'SAP Results'!I108</f>
        <v>0</v>
      </c>
      <c r="J108" s="5">
        <f>'SAP Results'!J108</f>
        <v>-0.1227</v>
      </c>
      <c r="K108" s="5" t="str">
        <f>'SAP Results'!K108</f>
        <v>5-1</v>
      </c>
      <c r="L108" s="5">
        <f>'SAP Results'!L108</f>
        <v>7.0437500000000002</v>
      </c>
    </row>
    <row r="109" spans="1:12" ht="15.75" customHeight="1">
      <c r="A109" s="6" t="str">
        <f>'SAP Results'!A109</f>
        <v>5</v>
      </c>
      <c r="B109" s="5">
        <f>'SAP Results'!B109</f>
        <v>8.0500000000000007</v>
      </c>
      <c r="C109" s="5" t="str">
        <f>'SAP Results'!C109</f>
        <v>G-1</v>
      </c>
      <c r="D109" s="5" t="str">
        <f>'SAP Results'!D109</f>
        <v>LinStatic</v>
      </c>
      <c r="E109" s="5">
        <f>'SAP Results'!E109</f>
        <v>0</v>
      </c>
      <c r="F109" s="5">
        <f>'SAP Results'!F109</f>
        <v>-10.212999999999999</v>
      </c>
      <c r="G109" s="5">
        <f>'SAP Results'!G109</f>
        <v>0</v>
      </c>
      <c r="H109" s="5">
        <f>'SAP Results'!H109</f>
        <v>0</v>
      </c>
      <c r="I109" s="5">
        <f>'SAP Results'!I109</f>
        <v>0</v>
      </c>
      <c r="J109" s="5">
        <f>'SAP Results'!J109</f>
        <v>10.154299999999999</v>
      </c>
      <c r="K109" s="5" t="str">
        <f>'SAP Results'!K109</f>
        <v>5-1</v>
      </c>
      <c r="L109" s="5">
        <f>'SAP Results'!L109</f>
        <v>8.0500000000000007</v>
      </c>
    </row>
    <row r="110" spans="1:12" ht="15.75" hidden="1" customHeight="1">
      <c r="A110" s="6" t="str">
        <f>'SAP Results'!A110</f>
        <v>5</v>
      </c>
      <c r="B110" s="5">
        <f>'SAP Results'!B110</f>
        <v>0</v>
      </c>
      <c r="C110" s="5" t="str">
        <f>'SAP Results'!C110</f>
        <v>G-2</v>
      </c>
      <c r="D110" s="5" t="str">
        <f>'SAP Results'!D110</f>
        <v>LinStatic</v>
      </c>
      <c r="E110" s="5">
        <f>'SAP Results'!E110</f>
        <v>0</v>
      </c>
      <c r="F110" s="5">
        <f>'SAP Results'!F110</f>
        <v>-168.333</v>
      </c>
      <c r="G110" s="5">
        <f>'SAP Results'!G110</f>
        <v>0</v>
      </c>
      <c r="H110" s="5">
        <f>'SAP Results'!H110</f>
        <v>0</v>
      </c>
      <c r="I110" s="5">
        <f>'SAP Results'!I110</f>
        <v>0</v>
      </c>
      <c r="J110" s="5">
        <f>'SAP Results'!J110</f>
        <v>-187.4752</v>
      </c>
      <c r="K110" s="5" t="str">
        <f>'SAP Results'!K110</f>
        <v>5-1</v>
      </c>
      <c r="L110" s="5">
        <f>'SAP Results'!L110</f>
        <v>0</v>
      </c>
    </row>
    <row r="111" spans="1:12" ht="15.75" hidden="1" customHeight="1">
      <c r="A111" s="6" t="str">
        <f>'SAP Results'!A111</f>
        <v>5</v>
      </c>
      <c r="B111" s="5">
        <f>'SAP Results'!B111</f>
        <v>1.0062500000000001</v>
      </c>
      <c r="C111" s="5" t="str">
        <f>'SAP Results'!C111</f>
        <v>G-2</v>
      </c>
      <c r="D111" s="5" t="str">
        <f>'SAP Results'!D111</f>
        <v>LinStatic</v>
      </c>
      <c r="E111" s="5">
        <f>'SAP Results'!E111</f>
        <v>0</v>
      </c>
      <c r="F111" s="5">
        <f>'SAP Results'!F111</f>
        <v>-128.19300000000001</v>
      </c>
      <c r="G111" s="5">
        <f>'SAP Results'!G111</f>
        <v>0</v>
      </c>
      <c r="H111" s="5">
        <f>'SAP Results'!H111</f>
        <v>0</v>
      </c>
      <c r="I111" s="5">
        <f>'SAP Results'!I111</f>
        <v>0</v>
      </c>
      <c r="J111" s="5">
        <f>'SAP Results'!J111</f>
        <v>-38.285499999999999</v>
      </c>
      <c r="K111" s="5" t="str">
        <f>'SAP Results'!K111</f>
        <v>5-1</v>
      </c>
      <c r="L111" s="5">
        <f>'SAP Results'!L111</f>
        <v>1.0062500000000001</v>
      </c>
    </row>
    <row r="112" spans="1:12" ht="15.75" hidden="1" customHeight="1">
      <c r="A112" s="6" t="str">
        <f>'SAP Results'!A112</f>
        <v>5</v>
      </c>
      <c r="B112" s="5">
        <f>'SAP Results'!B112</f>
        <v>2.0125000000000002</v>
      </c>
      <c r="C112" s="5" t="str">
        <f>'SAP Results'!C112</f>
        <v>G-2</v>
      </c>
      <c r="D112" s="5" t="str">
        <f>'SAP Results'!D112</f>
        <v>LinStatic</v>
      </c>
      <c r="E112" s="5">
        <f>'SAP Results'!E112</f>
        <v>0</v>
      </c>
      <c r="F112" s="5">
        <f>'SAP Results'!F112</f>
        <v>-88.054000000000002</v>
      </c>
      <c r="G112" s="5">
        <f>'SAP Results'!G112</f>
        <v>0</v>
      </c>
      <c r="H112" s="5">
        <f>'SAP Results'!H112</f>
        <v>0</v>
      </c>
      <c r="I112" s="5">
        <f>'SAP Results'!I112</f>
        <v>0</v>
      </c>
      <c r="J112" s="5">
        <f>'SAP Results'!J112</f>
        <v>70.514099999999999</v>
      </c>
      <c r="K112" s="5" t="str">
        <f>'SAP Results'!K112</f>
        <v>5-1</v>
      </c>
      <c r="L112" s="5">
        <f>'SAP Results'!L112</f>
        <v>2.0125000000000002</v>
      </c>
    </row>
    <row r="113" spans="1:12" ht="15.75" hidden="1" customHeight="1">
      <c r="A113" s="6" t="str">
        <f>'SAP Results'!A113</f>
        <v>5</v>
      </c>
      <c r="B113" s="5">
        <f>'SAP Results'!B113</f>
        <v>3.0187499999999998</v>
      </c>
      <c r="C113" s="5" t="str">
        <f>'SAP Results'!C113</f>
        <v>G-2</v>
      </c>
      <c r="D113" s="5" t="str">
        <f>'SAP Results'!D113</f>
        <v>LinStatic</v>
      </c>
      <c r="E113" s="5">
        <f>'SAP Results'!E113</f>
        <v>0</v>
      </c>
      <c r="F113" s="5">
        <f>'SAP Results'!F113</f>
        <v>-47.914999999999999</v>
      </c>
      <c r="G113" s="5">
        <f>'SAP Results'!G113</f>
        <v>0</v>
      </c>
      <c r="H113" s="5">
        <f>'SAP Results'!H113</f>
        <v>0</v>
      </c>
      <c r="I113" s="5">
        <f>'SAP Results'!I113</f>
        <v>0</v>
      </c>
      <c r="J113" s="5">
        <f>'SAP Results'!J113</f>
        <v>138.92349999999999</v>
      </c>
      <c r="K113" s="5" t="str">
        <f>'SAP Results'!K113</f>
        <v>5-1</v>
      </c>
      <c r="L113" s="5">
        <f>'SAP Results'!L113</f>
        <v>3.0187499999999998</v>
      </c>
    </row>
    <row r="114" spans="1:12" ht="15.75" hidden="1" customHeight="1">
      <c r="A114" s="6" t="str">
        <f>'SAP Results'!A114</f>
        <v>5</v>
      </c>
      <c r="B114" s="5">
        <f>'SAP Results'!B114</f>
        <v>4.0250000000000004</v>
      </c>
      <c r="C114" s="5" t="str">
        <f>'SAP Results'!C114</f>
        <v>G-2</v>
      </c>
      <c r="D114" s="5" t="str">
        <f>'SAP Results'!D114</f>
        <v>LinStatic</v>
      </c>
      <c r="E114" s="5">
        <f>'SAP Results'!E114</f>
        <v>0</v>
      </c>
      <c r="F114" s="5">
        <f>'SAP Results'!F114</f>
        <v>-7.7759999999999998</v>
      </c>
      <c r="G114" s="5">
        <f>'SAP Results'!G114</f>
        <v>0</v>
      </c>
      <c r="H114" s="5">
        <f>'SAP Results'!H114</f>
        <v>0</v>
      </c>
      <c r="I114" s="5">
        <f>'SAP Results'!I114</f>
        <v>0</v>
      </c>
      <c r="J114" s="5">
        <f>'SAP Results'!J114</f>
        <v>166.9427</v>
      </c>
      <c r="K114" s="5" t="str">
        <f>'SAP Results'!K114</f>
        <v>5-1</v>
      </c>
      <c r="L114" s="5">
        <f>'SAP Results'!L114</f>
        <v>4.0250000000000004</v>
      </c>
    </row>
    <row r="115" spans="1:12" ht="15.75" hidden="1" customHeight="1">
      <c r="A115" s="6" t="str">
        <f>'SAP Results'!A115</f>
        <v>5</v>
      </c>
      <c r="B115" s="5">
        <f>'SAP Results'!B115</f>
        <v>5.03125</v>
      </c>
      <c r="C115" s="5" t="str">
        <f>'SAP Results'!C115</f>
        <v>G-2</v>
      </c>
      <c r="D115" s="5" t="str">
        <f>'SAP Results'!D115</f>
        <v>LinStatic</v>
      </c>
      <c r="E115" s="5">
        <f>'SAP Results'!E115</f>
        <v>0</v>
      </c>
      <c r="F115" s="5">
        <f>'SAP Results'!F115</f>
        <v>32.363999999999997</v>
      </c>
      <c r="G115" s="5">
        <f>'SAP Results'!G115</f>
        <v>0</v>
      </c>
      <c r="H115" s="5">
        <f>'SAP Results'!H115</f>
        <v>0</v>
      </c>
      <c r="I115" s="5">
        <f>'SAP Results'!I115</f>
        <v>0</v>
      </c>
      <c r="J115" s="5">
        <f>'SAP Results'!J115</f>
        <v>154.5718</v>
      </c>
      <c r="K115" s="5" t="str">
        <f>'SAP Results'!K115</f>
        <v>5-1</v>
      </c>
      <c r="L115" s="5">
        <f>'SAP Results'!L115</f>
        <v>5.03125</v>
      </c>
    </row>
    <row r="116" spans="1:12" ht="15.75" hidden="1" customHeight="1">
      <c r="A116" s="6" t="str">
        <f>'SAP Results'!A116</f>
        <v>5</v>
      </c>
      <c r="B116" s="5">
        <f>'SAP Results'!B116</f>
        <v>6.0374999999999996</v>
      </c>
      <c r="C116" s="5" t="str">
        <f>'SAP Results'!C116</f>
        <v>G-2</v>
      </c>
      <c r="D116" s="5" t="str">
        <f>'SAP Results'!D116</f>
        <v>LinStatic</v>
      </c>
      <c r="E116" s="5">
        <f>'SAP Results'!E116</f>
        <v>0</v>
      </c>
      <c r="F116" s="5">
        <f>'SAP Results'!F116</f>
        <v>72.503</v>
      </c>
      <c r="G116" s="5">
        <f>'SAP Results'!G116</f>
        <v>0</v>
      </c>
      <c r="H116" s="5">
        <f>'SAP Results'!H116</f>
        <v>0</v>
      </c>
      <c r="I116" s="5">
        <f>'SAP Results'!I116</f>
        <v>0</v>
      </c>
      <c r="J116" s="5">
        <f>'SAP Results'!J116</f>
        <v>101.81059999999999</v>
      </c>
      <c r="K116" s="5" t="str">
        <f>'SAP Results'!K116</f>
        <v>5-1</v>
      </c>
      <c r="L116" s="5">
        <f>'SAP Results'!L116</f>
        <v>6.0374999999999996</v>
      </c>
    </row>
    <row r="117" spans="1:12" ht="15.75" hidden="1" customHeight="1">
      <c r="A117" s="6" t="str">
        <f>'SAP Results'!A117</f>
        <v>5</v>
      </c>
      <c r="B117" s="5">
        <f>'SAP Results'!B117</f>
        <v>7.0437500000000002</v>
      </c>
      <c r="C117" s="5" t="str">
        <f>'SAP Results'!C117</f>
        <v>G-2</v>
      </c>
      <c r="D117" s="5" t="str">
        <f>'SAP Results'!D117</f>
        <v>LinStatic</v>
      </c>
      <c r="E117" s="5">
        <f>'SAP Results'!E117</f>
        <v>0</v>
      </c>
      <c r="F117" s="5">
        <f>'SAP Results'!F117</f>
        <v>112.642</v>
      </c>
      <c r="G117" s="5">
        <f>'SAP Results'!G117</f>
        <v>0</v>
      </c>
      <c r="H117" s="5">
        <f>'SAP Results'!H117</f>
        <v>0</v>
      </c>
      <c r="I117" s="5">
        <f>'SAP Results'!I117</f>
        <v>0</v>
      </c>
      <c r="J117" s="5">
        <f>'SAP Results'!J117</f>
        <v>8.6593</v>
      </c>
      <c r="K117" s="5" t="str">
        <f>'SAP Results'!K117</f>
        <v>5-1</v>
      </c>
      <c r="L117" s="5">
        <f>'SAP Results'!L117</f>
        <v>7.0437500000000002</v>
      </c>
    </row>
    <row r="118" spans="1:12" ht="15.75" hidden="1" customHeight="1">
      <c r="A118" s="6" t="str">
        <f>'SAP Results'!A118</f>
        <v>5</v>
      </c>
      <c r="B118" s="5">
        <f>'SAP Results'!B118</f>
        <v>8.0500000000000007</v>
      </c>
      <c r="C118" s="5" t="str">
        <f>'SAP Results'!C118</f>
        <v>G-2</v>
      </c>
      <c r="D118" s="5" t="str">
        <f>'SAP Results'!D118</f>
        <v>LinStatic</v>
      </c>
      <c r="E118" s="5">
        <f>'SAP Results'!E118</f>
        <v>0</v>
      </c>
      <c r="F118" s="5">
        <f>'SAP Results'!F118</f>
        <v>152.78200000000001</v>
      </c>
      <c r="G118" s="5">
        <f>'SAP Results'!G118</f>
        <v>0</v>
      </c>
      <c r="H118" s="5">
        <f>'SAP Results'!H118</f>
        <v>0</v>
      </c>
      <c r="I118" s="5">
        <f>'SAP Results'!I118</f>
        <v>0</v>
      </c>
      <c r="J118" s="5">
        <f>'SAP Results'!J118</f>
        <v>-124.8822</v>
      </c>
      <c r="K118" s="5" t="str">
        <f>'SAP Results'!K118</f>
        <v>5-1</v>
      </c>
      <c r="L118" s="5">
        <f>'SAP Results'!L118</f>
        <v>8.0500000000000007</v>
      </c>
    </row>
    <row r="119" spans="1:12" ht="15.75" hidden="1" customHeight="1">
      <c r="A119" s="6" t="str">
        <f>'SAP Results'!A119</f>
        <v>5</v>
      </c>
      <c r="B119" s="5">
        <f>'SAP Results'!B119</f>
        <v>0</v>
      </c>
      <c r="C119" s="5" t="str">
        <f>'SAP Results'!C119</f>
        <v>Q-1</v>
      </c>
      <c r="D119" s="5" t="str">
        <f>'SAP Results'!D119</f>
        <v>LinStatic</v>
      </c>
      <c r="E119" s="5">
        <f>'SAP Results'!E119</f>
        <v>0</v>
      </c>
      <c r="F119" s="5">
        <f>'SAP Results'!F119</f>
        <v>-5.1529999999999996</v>
      </c>
      <c r="G119" s="5">
        <f>'SAP Results'!G119</f>
        <v>0</v>
      </c>
      <c r="H119" s="5">
        <f>'SAP Results'!H119</f>
        <v>0</v>
      </c>
      <c r="I119" s="5">
        <f>'SAP Results'!I119</f>
        <v>0</v>
      </c>
      <c r="J119" s="5">
        <f>'SAP Results'!J119</f>
        <v>-36.356200000000001</v>
      </c>
      <c r="K119" s="5" t="str">
        <f>'SAP Results'!K119</f>
        <v>5-1</v>
      </c>
      <c r="L119" s="5">
        <f>'SAP Results'!L119</f>
        <v>0</v>
      </c>
    </row>
    <row r="120" spans="1:12" ht="15.75" hidden="1" customHeight="1">
      <c r="A120" s="6" t="str">
        <f>'SAP Results'!A120</f>
        <v>5</v>
      </c>
      <c r="B120" s="5">
        <f>'SAP Results'!B120</f>
        <v>1.0062500000000001</v>
      </c>
      <c r="C120" s="5" t="str">
        <f>'SAP Results'!C120</f>
        <v>Q-1</v>
      </c>
      <c r="D120" s="5" t="str">
        <f>'SAP Results'!D120</f>
        <v>LinStatic</v>
      </c>
      <c r="E120" s="5">
        <f>'SAP Results'!E120</f>
        <v>0</v>
      </c>
      <c r="F120" s="5">
        <f>'SAP Results'!F120</f>
        <v>-5.1529999999999996</v>
      </c>
      <c r="G120" s="5">
        <f>'SAP Results'!G120</f>
        <v>0</v>
      </c>
      <c r="H120" s="5">
        <f>'SAP Results'!H120</f>
        <v>0</v>
      </c>
      <c r="I120" s="5">
        <f>'SAP Results'!I120</f>
        <v>0</v>
      </c>
      <c r="J120" s="5">
        <f>'SAP Results'!J120</f>
        <v>-31.171299999999999</v>
      </c>
      <c r="K120" s="5" t="str">
        <f>'SAP Results'!K120</f>
        <v>5-1</v>
      </c>
      <c r="L120" s="5">
        <f>'SAP Results'!L120</f>
        <v>1.0062500000000001</v>
      </c>
    </row>
    <row r="121" spans="1:12" ht="15.75" hidden="1" customHeight="1">
      <c r="A121" s="6" t="str">
        <f>'SAP Results'!A121</f>
        <v>5</v>
      </c>
      <c r="B121" s="5">
        <f>'SAP Results'!B121</f>
        <v>2.0125000000000002</v>
      </c>
      <c r="C121" s="5" t="str">
        <f>'SAP Results'!C121</f>
        <v>Q-1</v>
      </c>
      <c r="D121" s="5" t="str">
        <f>'SAP Results'!D121</f>
        <v>LinStatic</v>
      </c>
      <c r="E121" s="5">
        <f>'SAP Results'!E121</f>
        <v>0</v>
      </c>
      <c r="F121" s="5">
        <f>'SAP Results'!F121</f>
        <v>-5.1529999999999996</v>
      </c>
      <c r="G121" s="5">
        <f>'SAP Results'!G121</f>
        <v>0</v>
      </c>
      <c r="H121" s="5">
        <f>'SAP Results'!H121</f>
        <v>0</v>
      </c>
      <c r="I121" s="5">
        <f>'SAP Results'!I121</f>
        <v>0</v>
      </c>
      <c r="J121" s="5">
        <f>'SAP Results'!J121</f>
        <v>-25.9864</v>
      </c>
      <c r="K121" s="5" t="str">
        <f>'SAP Results'!K121</f>
        <v>5-1</v>
      </c>
      <c r="L121" s="5">
        <f>'SAP Results'!L121</f>
        <v>2.0125000000000002</v>
      </c>
    </row>
    <row r="122" spans="1:12" ht="15.75" hidden="1" customHeight="1">
      <c r="A122" s="6" t="str">
        <f>'SAP Results'!A122</f>
        <v>5</v>
      </c>
      <c r="B122" s="5">
        <f>'SAP Results'!B122</f>
        <v>3.0187499999999998</v>
      </c>
      <c r="C122" s="5" t="str">
        <f>'SAP Results'!C122</f>
        <v>Q-1</v>
      </c>
      <c r="D122" s="5" t="str">
        <f>'SAP Results'!D122</f>
        <v>LinStatic</v>
      </c>
      <c r="E122" s="5">
        <f>'SAP Results'!E122</f>
        <v>0</v>
      </c>
      <c r="F122" s="5">
        <f>'SAP Results'!F122</f>
        <v>-5.1529999999999996</v>
      </c>
      <c r="G122" s="5">
        <f>'SAP Results'!G122</f>
        <v>0</v>
      </c>
      <c r="H122" s="5">
        <f>'SAP Results'!H122</f>
        <v>0</v>
      </c>
      <c r="I122" s="5">
        <f>'SAP Results'!I122</f>
        <v>0</v>
      </c>
      <c r="J122" s="5">
        <f>'SAP Results'!J122</f>
        <v>-20.801500000000001</v>
      </c>
      <c r="K122" s="5" t="str">
        <f>'SAP Results'!K122</f>
        <v>5-1</v>
      </c>
      <c r="L122" s="5">
        <f>'SAP Results'!L122</f>
        <v>3.0187499999999998</v>
      </c>
    </row>
    <row r="123" spans="1:12" ht="15.75" hidden="1" customHeight="1">
      <c r="A123" s="6" t="str">
        <f>'SAP Results'!A123</f>
        <v>5</v>
      </c>
      <c r="B123" s="5">
        <f>'SAP Results'!B123</f>
        <v>4.0250000000000004</v>
      </c>
      <c r="C123" s="5" t="str">
        <f>'SAP Results'!C123</f>
        <v>Q-1</v>
      </c>
      <c r="D123" s="5" t="str">
        <f>'SAP Results'!D123</f>
        <v>LinStatic</v>
      </c>
      <c r="E123" s="5">
        <f>'SAP Results'!E123</f>
        <v>0</v>
      </c>
      <c r="F123" s="5">
        <f>'SAP Results'!F123</f>
        <v>-5.1529999999999996</v>
      </c>
      <c r="G123" s="5">
        <f>'SAP Results'!G123</f>
        <v>0</v>
      </c>
      <c r="H123" s="5">
        <f>'SAP Results'!H123</f>
        <v>0</v>
      </c>
      <c r="I123" s="5">
        <f>'SAP Results'!I123</f>
        <v>0</v>
      </c>
      <c r="J123" s="5">
        <f>'SAP Results'!J123</f>
        <v>-15.6166</v>
      </c>
      <c r="K123" s="5" t="str">
        <f>'SAP Results'!K123</f>
        <v>5-1</v>
      </c>
      <c r="L123" s="5">
        <f>'SAP Results'!L123</f>
        <v>4.0250000000000004</v>
      </c>
    </row>
    <row r="124" spans="1:12" ht="15.75" hidden="1" customHeight="1">
      <c r="A124" s="6" t="str">
        <f>'SAP Results'!A124</f>
        <v>5</v>
      </c>
      <c r="B124" s="5">
        <f>'SAP Results'!B124</f>
        <v>5.03125</v>
      </c>
      <c r="C124" s="5" t="str">
        <f>'SAP Results'!C124</f>
        <v>Q-1</v>
      </c>
      <c r="D124" s="5" t="str">
        <f>'SAP Results'!D124</f>
        <v>LinStatic</v>
      </c>
      <c r="E124" s="5">
        <f>'SAP Results'!E124</f>
        <v>0</v>
      </c>
      <c r="F124" s="5">
        <f>'SAP Results'!F124</f>
        <v>-5.1529999999999996</v>
      </c>
      <c r="G124" s="5">
        <f>'SAP Results'!G124</f>
        <v>0</v>
      </c>
      <c r="H124" s="5">
        <f>'SAP Results'!H124</f>
        <v>0</v>
      </c>
      <c r="I124" s="5">
        <f>'SAP Results'!I124</f>
        <v>0</v>
      </c>
      <c r="J124" s="5">
        <f>'SAP Results'!J124</f>
        <v>-10.431699999999999</v>
      </c>
      <c r="K124" s="5" t="str">
        <f>'SAP Results'!K124</f>
        <v>5-1</v>
      </c>
      <c r="L124" s="5">
        <f>'SAP Results'!L124</f>
        <v>5.03125</v>
      </c>
    </row>
    <row r="125" spans="1:12" ht="15.75" hidden="1" customHeight="1">
      <c r="A125" s="6" t="str">
        <f>'SAP Results'!A125</f>
        <v>5</v>
      </c>
      <c r="B125" s="5">
        <f>'SAP Results'!B125</f>
        <v>6.0374999999999996</v>
      </c>
      <c r="C125" s="5" t="str">
        <f>'SAP Results'!C125</f>
        <v>Q-1</v>
      </c>
      <c r="D125" s="5" t="str">
        <f>'SAP Results'!D125</f>
        <v>LinStatic</v>
      </c>
      <c r="E125" s="5">
        <f>'SAP Results'!E125</f>
        <v>0</v>
      </c>
      <c r="F125" s="5">
        <f>'SAP Results'!F125</f>
        <v>-5.1529999999999996</v>
      </c>
      <c r="G125" s="5">
        <f>'SAP Results'!G125</f>
        <v>0</v>
      </c>
      <c r="H125" s="5">
        <f>'SAP Results'!H125</f>
        <v>0</v>
      </c>
      <c r="I125" s="5">
        <f>'SAP Results'!I125</f>
        <v>0</v>
      </c>
      <c r="J125" s="5">
        <f>'SAP Results'!J125</f>
        <v>-5.2468000000000004</v>
      </c>
      <c r="K125" s="5" t="str">
        <f>'SAP Results'!K125</f>
        <v>5-1</v>
      </c>
      <c r="L125" s="5">
        <f>'SAP Results'!L125</f>
        <v>6.0374999999999996</v>
      </c>
    </row>
    <row r="126" spans="1:12" ht="15.75" hidden="1" customHeight="1">
      <c r="A126" s="6" t="str">
        <f>'SAP Results'!A126</f>
        <v>5</v>
      </c>
      <c r="B126" s="5">
        <f>'SAP Results'!B126</f>
        <v>7.0437500000000002</v>
      </c>
      <c r="C126" s="5" t="str">
        <f>'SAP Results'!C126</f>
        <v>Q-1</v>
      </c>
      <c r="D126" s="5" t="str">
        <f>'SAP Results'!D126</f>
        <v>LinStatic</v>
      </c>
      <c r="E126" s="5">
        <f>'SAP Results'!E126</f>
        <v>0</v>
      </c>
      <c r="F126" s="5">
        <f>'SAP Results'!F126</f>
        <v>-5.1529999999999996</v>
      </c>
      <c r="G126" s="5">
        <f>'SAP Results'!G126</f>
        <v>0</v>
      </c>
      <c r="H126" s="5">
        <f>'SAP Results'!H126</f>
        <v>0</v>
      </c>
      <c r="I126" s="5">
        <f>'SAP Results'!I126</f>
        <v>0</v>
      </c>
      <c r="J126" s="5">
        <f>'SAP Results'!J126</f>
        <v>-6.1899999999999997E-2</v>
      </c>
      <c r="K126" s="5" t="str">
        <f>'SAP Results'!K126</f>
        <v>5-1</v>
      </c>
      <c r="L126" s="5">
        <f>'SAP Results'!L126</f>
        <v>7.0437500000000002</v>
      </c>
    </row>
    <row r="127" spans="1:12" ht="15.75" hidden="1" customHeight="1">
      <c r="A127" s="6" t="str">
        <f>'SAP Results'!A127</f>
        <v>5</v>
      </c>
      <c r="B127" s="5">
        <f>'SAP Results'!B127</f>
        <v>8.0500000000000007</v>
      </c>
      <c r="C127" s="5" t="str">
        <f>'SAP Results'!C127</f>
        <v>Q-1</v>
      </c>
      <c r="D127" s="5" t="str">
        <f>'SAP Results'!D127</f>
        <v>LinStatic</v>
      </c>
      <c r="E127" s="5">
        <f>'SAP Results'!E127</f>
        <v>0</v>
      </c>
      <c r="F127" s="5">
        <f>'SAP Results'!F127</f>
        <v>-5.1529999999999996</v>
      </c>
      <c r="G127" s="5">
        <f>'SAP Results'!G127</f>
        <v>0</v>
      </c>
      <c r="H127" s="5">
        <f>'SAP Results'!H127</f>
        <v>0</v>
      </c>
      <c r="I127" s="5">
        <f>'SAP Results'!I127</f>
        <v>0</v>
      </c>
      <c r="J127" s="5">
        <f>'SAP Results'!J127</f>
        <v>5.1230000000000002</v>
      </c>
      <c r="K127" s="5" t="str">
        <f>'SAP Results'!K127</f>
        <v>5-1</v>
      </c>
      <c r="L127" s="5">
        <f>'SAP Results'!L127</f>
        <v>8.0500000000000007</v>
      </c>
    </row>
    <row r="128" spans="1:12" ht="15.75" hidden="1" customHeight="1">
      <c r="A128" s="6" t="str">
        <f>'SAP Results'!A128</f>
        <v>5</v>
      </c>
      <c r="B128" s="5">
        <f>'SAP Results'!B128</f>
        <v>0</v>
      </c>
      <c r="C128" s="5" t="str">
        <f>'SAP Results'!C128</f>
        <v>Q-2</v>
      </c>
      <c r="D128" s="5" t="str">
        <f>'SAP Results'!D128</f>
        <v>LinStatic</v>
      </c>
      <c r="E128" s="5">
        <f>'SAP Results'!E128</f>
        <v>0</v>
      </c>
      <c r="F128" s="5">
        <f>'SAP Results'!F128</f>
        <v>-84.926000000000002</v>
      </c>
      <c r="G128" s="5">
        <f>'SAP Results'!G128</f>
        <v>0</v>
      </c>
      <c r="H128" s="5">
        <f>'SAP Results'!H128</f>
        <v>0</v>
      </c>
      <c r="I128" s="5">
        <f>'SAP Results'!I128</f>
        <v>0</v>
      </c>
      <c r="J128" s="5">
        <f>'SAP Results'!J128</f>
        <v>-94.583600000000004</v>
      </c>
      <c r="K128" s="5" t="str">
        <f>'SAP Results'!K128</f>
        <v>5-1</v>
      </c>
      <c r="L128" s="5">
        <f>'SAP Results'!L128</f>
        <v>0</v>
      </c>
    </row>
    <row r="129" spans="1:12" ht="15.75" hidden="1" customHeight="1">
      <c r="A129" s="6" t="str">
        <f>'SAP Results'!A129</f>
        <v>5</v>
      </c>
      <c r="B129" s="5">
        <f>'SAP Results'!B129</f>
        <v>1.0062500000000001</v>
      </c>
      <c r="C129" s="5" t="str">
        <f>'SAP Results'!C129</f>
        <v>Q-2</v>
      </c>
      <c r="D129" s="5" t="str">
        <f>'SAP Results'!D129</f>
        <v>LinStatic</v>
      </c>
      <c r="E129" s="5">
        <f>'SAP Results'!E129</f>
        <v>0</v>
      </c>
      <c r="F129" s="5">
        <f>'SAP Results'!F129</f>
        <v>-64.674999999999997</v>
      </c>
      <c r="G129" s="5">
        <f>'SAP Results'!G129</f>
        <v>0</v>
      </c>
      <c r="H129" s="5">
        <f>'SAP Results'!H129</f>
        <v>0</v>
      </c>
      <c r="I129" s="5">
        <f>'SAP Results'!I129</f>
        <v>0</v>
      </c>
      <c r="J129" s="5">
        <f>'SAP Results'!J129</f>
        <v>-19.3155</v>
      </c>
      <c r="K129" s="5" t="str">
        <f>'SAP Results'!K129</f>
        <v>5-1</v>
      </c>
      <c r="L129" s="5">
        <f>'SAP Results'!L129</f>
        <v>1.0062500000000001</v>
      </c>
    </row>
    <row r="130" spans="1:12" ht="15.75" hidden="1" customHeight="1">
      <c r="A130" s="6" t="str">
        <f>'SAP Results'!A130</f>
        <v>5</v>
      </c>
      <c r="B130" s="5">
        <f>'SAP Results'!B130</f>
        <v>2.0125000000000002</v>
      </c>
      <c r="C130" s="5" t="str">
        <f>'SAP Results'!C130</f>
        <v>Q-2</v>
      </c>
      <c r="D130" s="5" t="str">
        <f>'SAP Results'!D130</f>
        <v>LinStatic</v>
      </c>
      <c r="E130" s="5">
        <f>'SAP Results'!E130</f>
        <v>0</v>
      </c>
      <c r="F130" s="5">
        <f>'SAP Results'!F130</f>
        <v>-44.423999999999999</v>
      </c>
      <c r="G130" s="5">
        <f>'SAP Results'!G130</f>
        <v>0</v>
      </c>
      <c r="H130" s="5">
        <f>'SAP Results'!H130</f>
        <v>0</v>
      </c>
      <c r="I130" s="5">
        <f>'SAP Results'!I130</f>
        <v>0</v>
      </c>
      <c r="J130" s="5">
        <f>'SAP Results'!J130</f>
        <v>35.575299999999999</v>
      </c>
      <c r="K130" s="5" t="str">
        <f>'SAP Results'!K130</f>
        <v>5-1</v>
      </c>
      <c r="L130" s="5">
        <f>'SAP Results'!L130</f>
        <v>2.0125000000000002</v>
      </c>
    </row>
    <row r="131" spans="1:12" ht="15.75" hidden="1" customHeight="1">
      <c r="A131" s="6" t="str">
        <f>'SAP Results'!A131</f>
        <v>5</v>
      </c>
      <c r="B131" s="5">
        <f>'SAP Results'!B131</f>
        <v>3.0187499999999998</v>
      </c>
      <c r="C131" s="5" t="str">
        <f>'SAP Results'!C131</f>
        <v>Q-2</v>
      </c>
      <c r="D131" s="5" t="str">
        <f>'SAP Results'!D131</f>
        <v>LinStatic</v>
      </c>
      <c r="E131" s="5">
        <f>'SAP Results'!E131</f>
        <v>0</v>
      </c>
      <c r="F131" s="5">
        <f>'SAP Results'!F131</f>
        <v>-24.173999999999999</v>
      </c>
      <c r="G131" s="5">
        <f>'SAP Results'!G131</f>
        <v>0</v>
      </c>
      <c r="H131" s="5">
        <f>'SAP Results'!H131</f>
        <v>0</v>
      </c>
      <c r="I131" s="5">
        <f>'SAP Results'!I131</f>
        <v>0</v>
      </c>
      <c r="J131" s="5">
        <f>'SAP Results'!J131</f>
        <v>70.0886</v>
      </c>
      <c r="K131" s="5" t="str">
        <f>'SAP Results'!K131</f>
        <v>5-1</v>
      </c>
      <c r="L131" s="5">
        <f>'SAP Results'!L131</f>
        <v>3.0187499999999998</v>
      </c>
    </row>
    <row r="132" spans="1:12" ht="15.75" hidden="1" customHeight="1">
      <c r="A132" s="6" t="str">
        <f>'SAP Results'!A132</f>
        <v>5</v>
      </c>
      <c r="B132" s="5">
        <f>'SAP Results'!B132</f>
        <v>4.0250000000000004</v>
      </c>
      <c r="C132" s="5" t="str">
        <f>'SAP Results'!C132</f>
        <v>Q-2</v>
      </c>
      <c r="D132" s="5" t="str">
        <f>'SAP Results'!D132</f>
        <v>LinStatic</v>
      </c>
      <c r="E132" s="5">
        <f>'SAP Results'!E132</f>
        <v>0</v>
      </c>
      <c r="F132" s="5">
        <f>'SAP Results'!F132</f>
        <v>-3.923</v>
      </c>
      <c r="G132" s="5">
        <f>'SAP Results'!G132</f>
        <v>0</v>
      </c>
      <c r="H132" s="5">
        <f>'SAP Results'!H132</f>
        <v>0</v>
      </c>
      <c r="I132" s="5">
        <f>'SAP Results'!I132</f>
        <v>0</v>
      </c>
      <c r="J132" s="5">
        <f>'SAP Results'!J132</f>
        <v>84.224699999999999</v>
      </c>
      <c r="K132" s="5" t="str">
        <f>'SAP Results'!K132</f>
        <v>5-1</v>
      </c>
      <c r="L132" s="5">
        <f>'SAP Results'!L132</f>
        <v>4.0250000000000004</v>
      </c>
    </row>
    <row r="133" spans="1:12" ht="15.75" hidden="1" customHeight="1">
      <c r="A133" s="6" t="str">
        <f>'SAP Results'!A133</f>
        <v>5</v>
      </c>
      <c r="B133" s="5">
        <f>'SAP Results'!B133</f>
        <v>5.03125</v>
      </c>
      <c r="C133" s="5" t="str">
        <f>'SAP Results'!C133</f>
        <v>Q-2</v>
      </c>
      <c r="D133" s="5" t="str">
        <f>'SAP Results'!D133</f>
        <v>LinStatic</v>
      </c>
      <c r="E133" s="5">
        <f>'SAP Results'!E133</f>
        <v>0</v>
      </c>
      <c r="F133" s="5">
        <f>'SAP Results'!F133</f>
        <v>16.327999999999999</v>
      </c>
      <c r="G133" s="5">
        <f>'SAP Results'!G133</f>
        <v>0</v>
      </c>
      <c r="H133" s="5">
        <f>'SAP Results'!H133</f>
        <v>0</v>
      </c>
      <c r="I133" s="5">
        <f>'SAP Results'!I133</f>
        <v>0</v>
      </c>
      <c r="J133" s="5">
        <f>'SAP Results'!J133</f>
        <v>77.983400000000003</v>
      </c>
      <c r="K133" s="5" t="str">
        <f>'SAP Results'!K133</f>
        <v>5-1</v>
      </c>
      <c r="L133" s="5">
        <f>'SAP Results'!L133</f>
        <v>5.03125</v>
      </c>
    </row>
    <row r="134" spans="1:12" ht="15.75" hidden="1" customHeight="1">
      <c r="A134" s="6" t="str">
        <f>'SAP Results'!A134</f>
        <v>5</v>
      </c>
      <c r="B134" s="5">
        <f>'SAP Results'!B134</f>
        <v>6.0374999999999996</v>
      </c>
      <c r="C134" s="5" t="str">
        <f>'SAP Results'!C134</f>
        <v>Q-2</v>
      </c>
      <c r="D134" s="5" t="str">
        <f>'SAP Results'!D134</f>
        <v>LinStatic</v>
      </c>
      <c r="E134" s="5">
        <f>'SAP Results'!E134</f>
        <v>0</v>
      </c>
      <c r="F134" s="5">
        <f>'SAP Results'!F134</f>
        <v>36.579000000000001</v>
      </c>
      <c r="G134" s="5">
        <f>'SAP Results'!G134</f>
        <v>0</v>
      </c>
      <c r="H134" s="5">
        <f>'SAP Results'!H134</f>
        <v>0</v>
      </c>
      <c r="I134" s="5">
        <f>'SAP Results'!I134</f>
        <v>0</v>
      </c>
      <c r="J134" s="5">
        <f>'SAP Results'!J134</f>
        <v>51.364699999999999</v>
      </c>
      <c r="K134" s="5" t="str">
        <f>'SAP Results'!K134</f>
        <v>5-1</v>
      </c>
      <c r="L134" s="5">
        <f>'SAP Results'!L134</f>
        <v>6.0374999999999996</v>
      </c>
    </row>
    <row r="135" spans="1:12" ht="15.75" hidden="1" customHeight="1">
      <c r="A135" s="6" t="str">
        <f>'SAP Results'!A135</f>
        <v>5</v>
      </c>
      <c r="B135" s="5">
        <f>'SAP Results'!B135</f>
        <v>7.0437500000000002</v>
      </c>
      <c r="C135" s="5" t="str">
        <f>'SAP Results'!C135</f>
        <v>Q-2</v>
      </c>
      <c r="D135" s="5" t="str">
        <f>'SAP Results'!D135</f>
        <v>LinStatic</v>
      </c>
      <c r="E135" s="5">
        <f>'SAP Results'!E135</f>
        <v>0</v>
      </c>
      <c r="F135" s="5">
        <f>'SAP Results'!F135</f>
        <v>56.829000000000001</v>
      </c>
      <c r="G135" s="5">
        <f>'SAP Results'!G135</f>
        <v>0</v>
      </c>
      <c r="H135" s="5">
        <f>'SAP Results'!H135</f>
        <v>0</v>
      </c>
      <c r="I135" s="5">
        <f>'SAP Results'!I135</f>
        <v>0</v>
      </c>
      <c r="J135" s="5">
        <f>'SAP Results'!J135</f>
        <v>4.3686999999999996</v>
      </c>
      <c r="K135" s="5" t="str">
        <f>'SAP Results'!K135</f>
        <v>5-1</v>
      </c>
      <c r="L135" s="5">
        <f>'SAP Results'!L135</f>
        <v>7.0437500000000002</v>
      </c>
    </row>
    <row r="136" spans="1:12" ht="15.75" hidden="1" customHeight="1">
      <c r="A136" s="6" t="str">
        <f>'SAP Results'!A136</f>
        <v>5</v>
      </c>
      <c r="B136" s="5">
        <f>'SAP Results'!B136</f>
        <v>8.0500000000000007</v>
      </c>
      <c r="C136" s="5" t="str">
        <f>'SAP Results'!C136</f>
        <v>Q-2</v>
      </c>
      <c r="D136" s="5" t="str">
        <f>'SAP Results'!D136</f>
        <v>LinStatic</v>
      </c>
      <c r="E136" s="5">
        <f>'SAP Results'!E136</f>
        <v>0</v>
      </c>
      <c r="F136" s="5">
        <f>'SAP Results'!F136</f>
        <v>77.08</v>
      </c>
      <c r="G136" s="5">
        <f>'SAP Results'!G136</f>
        <v>0</v>
      </c>
      <c r="H136" s="5">
        <f>'SAP Results'!H136</f>
        <v>0</v>
      </c>
      <c r="I136" s="5">
        <f>'SAP Results'!I136</f>
        <v>0</v>
      </c>
      <c r="J136" s="5">
        <f>'SAP Results'!J136</f>
        <v>-63.004600000000003</v>
      </c>
      <c r="K136" s="5" t="str">
        <f>'SAP Results'!K136</f>
        <v>5-1</v>
      </c>
      <c r="L136" s="5">
        <f>'SAP Results'!L136</f>
        <v>8.0500000000000007</v>
      </c>
    </row>
    <row r="137" spans="1:12" ht="15.75" customHeight="1"/>
    <row r="138" spans="1:12" ht="15.75" customHeight="1"/>
    <row r="139" spans="1:12" ht="15.75" customHeight="1"/>
    <row r="140" spans="1:12" ht="15.75" customHeight="1"/>
    <row r="141" spans="1:12" ht="15.75" customHeight="1"/>
    <row r="142" spans="1:12" ht="15.75" customHeight="1"/>
    <row r="143" spans="1:12" ht="15.75" customHeight="1"/>
    <row r="144" spans="1:12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L136" xr:uid="{00000000-0009-0000-0000-000001000000}">
    <filterColumn colId="2">
      <filters>
        <filter val="G-1"/>
      </filters>
    </filterColumn>
  </autoFilter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L1000"/>
  <sheetViews>
    <sheetView workbookViewId="0"/>
  </sheetViews>
  <sheetFormatPr defaultColWidth="14.42578125" defaultRowHeight="15" customHeight="1"/>
  <cols>
    <col min="1" max="1" width="8.7109375" customWidth="1"/>
    <col min="2" max="12" width="9.140625" style="5" customWidth="1"/>
    <col min="13" max="26" width="8.7109375" customWidth="1"/>
  </cols>
  <sheetData>
    <row r="1" spans="1:12">
      <c r="A1" s="4" t="str">
        <f>'SAP Results'!A1</f>
        <v>Frame</v>
      </c>
      <c r="B1" s="5" t="str">
        <f>'SAP Results'!B1</f>
        <v>Station</v>
      </c>
      <c r="C1" s="5" t="str">
        <f>'SAP Results'!C1</f>
        <v>OutputCase</v>
      </c>
      <c r="D1" s="5" t="str">
        <f>'SAP Results'!D1</f>
        <v>CaseType</v>
      </c>
      <c r="E1" s="5" t="str">
        <f>'SAP Results'!E1</f>
        <v>P</v>
      </c>
      <c r="F1" s="5" t="str">
        <f>'SAP Results'!F1</f>
        <v>V2</v>
      </c>
      <c r="G1" s="5" t="str">
        <f>'SAP Results'!G1</f>
        <v>V3</v>
      </c>
      <c r="H1" s="5" t="str">
        <f>'SAP Results'!H1</f>
        <v>T</v>
      </c>
      <c r="I1" s="5" t="str">
        <f>'SAP Results'!I1</f>
        <v>M2</v>
      </c>
      <c r="J1" s="5" t="str">
        <f>'SAP Results'!J1</f>
        <v>M3</v>
      </c>
      <c r="K1" s="5" t="str">
        <f>'SAP Results'!K1</f>
        <v>FrameElem</v>
      </c>
      <c r="L1" s="5" t="str">
        <f>'SAP Results'!L1</f>
        <v>ElemStation</v>
      </c>
    </row>
    <row r="2" spans="1:12" hidden="1">
      <c r="A2" s="6" t="str">
        <f>'SAP Results'!A2</f>
        <v>1</v>
      </c>
      <c r="B2" s="5">
        <f>'SAP Results'!B2</f>
        <v>0</v>
      </c>
      <c r="C2" s="5" t="str">
        <f>'SAP Results'!C2</f>
        <v>EX</v>
      </c>
      <c r="D2" s="5" t="str">
        <f>'SAP Results'!D2</f>
        <v>LinStatic</v>
      </c>
      <c r="E2" s="5">
        <f>'SAP Results'!E2</f>
        <v>18.693999999999999</v>
      </c>
      <c r="F2" s="5">
        <f>'SAP Results'!F2</f>
        <v>40.723999999999997</v>
      </c>
      <c r="G2" s="5">
        <f>'SAP Results'!G2</f>
        <v>0</v>
      </c>
      <c r="H2" s="5">
        <f>'SAP Results'!H2</f>
        <v>0</v>
      </c>
      <c r="I2" s="5">
        <f>'SAP Results'!I2</f>
        <v>0</v>
      </c>
      <c r="J2" s="5">
        <f>'SAP Results'!J2</f>
        <v>125.8599</v>
      </c>
      <c r="K2" s="5" t="str">
        <f>'SAP Results'!K2</f>
        <v>1-1</v>
      </c>
      <c r="L2" s="5">
        <f>'SAP Results'!L2</f>
        <v>0</v>
      </c>
    </row>
    <row r="3" spans="1:12" hidden="1">
      <c r="A3" s="6" t="str">
        <f>'SAP Results'!A3</f>
        <v>1</v>
      </c>
      <c r="B3" s="5">
        <f>'SAP Results'!B3</f>
        <v>2.6</v>
      </c>
      <c r="C3" s="5" t="str">
        <f>'SAP Results'!C3</f>
        <v>EX</v>
      </c>
      <c r="D3" s="5" t="str">
        <f>'SAP Results'!D3</f>
        <v>LinStatic</v>
      </c>
      <c r="E3" s="5">
        <f>'SAP Results'!E3</f>
        <v>18.693999999999999</v>
      </c>
      <c r="F3" s="5">
        <f>'SAP Results'!F3</f>
        <v>40.723999999999997</v>
      </c>
      <c r="G3" s="5">
        <f>'SAP Results'!G3</f>
        <v>0</v>
      </c>
      <c r="H3" s="5">
        <f>'SAP Results'!H3</f>
        <v>0</v>
      </c>
      <c r="I3" s="5">
        <f>'SAP Results'!I3</f>
        <v>0</v>
      </c>
      <c r="J3" s="5">
        <f>'SAP Results'!J3</f>
        <v>19.977599999999999</v>
      </c>
      <c r="K3" s="5" t="str">
        <f>'SAP Results'!K3</f>
        <v>1-1</v>
      </c>
      <c r="L3" s="5">
        <f>'SAP Results'!L3</f>
        <v>2.6</v>
      </c>
    </row>
    <row r="4" spans="1:12" hidden="1">
      <c r="A4" s="6" t="str">
        <f>'SAP Results'!A4</f>
        <v>1</v>
      </c>
      <c r="B4" s="5">
        <f>'SAP Results'!B4</f>
        <v>5.2</v>
      </c>
      <c r="C4" s="5" t="str">
        <f>'SAP Results'!C4</f>
        <v>EX</v>
      </c>
      <c r="D4" s="5" t="str">
        <f>'SAP Results'!D4</f>
        <v>LinStatic</v>
      </c>
      <c r="E4" s="5">
        <f>'SAP Results'!E4</f>
        <v>18.693999999999999</v>
      </c>
      <c r="F4" s="5">
        <f>'SAP Results'!F4</f>
        <v>40.723999999999997</v>
      </c>
      <c r="G4" s="5">
        <f>'SAP Results'!G4</f>
        <v>0</v>
      </c>
      <c r="H4" s="5">
        <f>'SAP Results'!H4</f>
        <v>0</v>
      </c>
      <c r="I4" s="5">
        <f>'SAP Results'!I4</f>
        <v>0</v>
      </c>
      <c r="J4" s="5">
        <f>'SAP Results'!J4</f>
        <v>-85.904799999999994</v>
      </c>
      <c r="K4" s="5" t="str">
        <f>'SAP Results'!K4</f>
        <v>1-1</v>
      </c>
      <c r="L4" s="5">
        <f>'SAP Results'!L4</f>
        <v>5.2</v>
      </c>
    </row>
    <row r="5" spans="1:12" hidden="1">
      <c r="A5" s="6" t="str">
        <f>'SAP Results'!A5</f>
        <v>1</v>
      </c>
      <c r="B5" s="5">
        <f>'SAP Results'!B5</f>
        <v>0</v>
      </c>
      <c r="C5" s="5" t="str">
        <f>'SAP Results'!C5</f>
        <v>G-1</v>
      </c>
      <c r="D5" s="5" t="str">
        <f>'SAP Results'!D5</f>
        <v>LinStatic</v>
      </c>
      <c r="E5" s="5">
        <f>'SAP Results'!E5</f>
        <v>-152.78200000000001</v>
      </c>
      <c r="F5" s="5">
        <f>'SAP Results'!F5</f>
        <v>-33.564999999999998</v>
      </c>
      <c r="G5" s="5">
        <f>'SAP Results'!G5</f>
        <v>0</v>
      </c>
      <c r="H5" s="5">
        <f>'SAP Results'!H5</f>
        <v>0</v>
      </c>
      <c r="I5" s="5">
        <f>'SAP Results'!I5</f>
        <v>0</v>
      </c>
      <c r="J5" s="5">
        <f>'SAP Results'!J5</f>
        <v>-49.655099999999997</v>
      </c>
      <c r="K5" s="5" t="str">
        <f>'SAP Results'!K5</f>
        <v>1-1</v>
      </c>
      <c r="L5" s="5">
        <f>'SAP Results'!L5</f>
        <v>0</v>
      </c>
    </row>
    <row r="6" spans="1:12" hidden="1">
      <c r="A6" s="6" t="str">
        <f>'SAP Results'!A6</f>
        <v>1</v>
      </c>
      <c r="B6" s="5">
        <f>'SAP Results'!B6</f>
        <v>2.6</v>
      </c>
      <c r="C6" s="5" t="str">
        <f>'SAP Results'!C6</f>
        <v>G-1</v>
      </c>
      <c r="D6" s="5" t="str">
        <f>'SAP Results'!D6</f>
        <v>LinStatic</v>
      </c>
      <c r="E6" s="5">
        <f>'SAP Results'!E6</f>
        <v>-152.78200000000001</v>
      </c>
      <c r="F6" s="5">
        <f>'SAP Results'!F6</f>
        <v>-33.564999999999998</v>
      </c>
      <c r="G6" s="5">
        <f>'SAP Results'!G6</f>
        <v>0</v>
      </c>
      <c r="H6" s="5">
        <f>'SAP Results'!H6</f>
        <v>0</v>
      </c>
      <c r="I6" s="5">
        <f>'SAP Results'!I6</f>
        <v>0</v>
      </c>
      <c r="J6" s="5">
        <f>'SAP Results'!J6</f>
        <v>37.613599999999998</v>
      </c>
      <c r="K6" s="5" t="str">
        <f>'SAP Results'!K6</f>
        <v>1-1</v>
      </c>
      <c r="L6" s="5">
        <f>'SAP Results'!L6</f>
        <v>2.6</v>
      </c>
    </row>
    <row r="7" spans="1:12" hidden="1">
      <c r="A7" s="6" t="str">
        <f>'SAP Results'!A7</f>
        <v>1</v>
      </c>
      <c r="B7" s="5">
        <f>'SAP Results'!B7</f>
        <v>5.2</v>
      </c>
      <c r="C7" s="5" t="str">
        <f>'SAP Results'!C7</f>
        <v>G-1</v>
      </c>
      <c r="D7" s="5" t="str">
        <f>'SAP Results'!D7</f>
        <v>LinStatic</v>
      </c>
      <c r="E7" s="5">
        <f>'SAP Results'!E7</f>
        <v>-152.78200000000001</v>
      </c>
      <c r="F7" s="5">
        <f>'SAP Results'!F7</f>
        <v>-33.564999999999998</v>
      </c>
      <c r="G7" s="5">
        <f>'SAP Results'!G7</f>
        <v>0</v>
      </c>
      <c r="H7" s="5">
        <f>'SAP Results'!H7</f>
        <v>0</v>
      </c>
      <c r="I7" s="5">
        <f>'SAP Results'!I7</f>
        <v>0</v>
      </c>
      <c r="J7" s="5">
        <f>'SAP Results'!J7</f>
        <v>124.8822</v>
      </c>
      <c r="K7" s="5" t="str">
        <f>'SAP Results'!K7</f>
        <v>1-1</v>
      </c>
      <c r="L7" s="5">
        <f>'SAP Results'!L7</f>
        <v>5.2</v>
      </c>
    </row>
    <row r="8" spans="1:12">
      <c r="A8" s="6" t="str">
        <f>'SAP Results'!A8</f>
        <v>1</v>
      </c>
      <c r="B8" s="5">
        <f>'SAP Results'!B8</f>
        <v>0</v>
      </c>
      <c r="C8" s="5" t="str">
        <f>'SAP Results'!C8</f>
        <v>G-2</v>
      </c>
      <c r="D8" s="5" t="str">
        <f>'SAP Results'!D8</f>
        <v>LinStatic</v>
      </c>
      <c r="E8" s="5">
        <f>'SAP Results'!E8</f>
        <v>10.212999999999999</v>
      </c>
      <c r="F8" s="5">
        <f>'SAP Results'!F8</f>
        <v>1.0249999999999999</v>
      </c>
      <c r="G8" s="5">
        <f>'SAP Results'!G8</f>
        <v>0</v>
      </c>
      <c r="H8" s="5">
        <f>'SAP Results'!H8</f>
        <v>0</v>
      </c>
      <c r="I8" s="5">
        <f>'SAP Results'!I8</f>
        <v>0</v>
      </c>
      <c r="J8" s="5">
        <f>'SAP Results'!J8</f>
        <v>-4.8253000000000004</v>
      </c>
      <c r="K8" s="5" t="str">
        <f>'SAP Results'!K8</f>
        <v>1-1</v>
      </c>
      <c r="L8" s="5">
        <f>'SAP Results'!L8</f>
        <v>0</v>
      </c>
    </row>
    <row r="9" spans="1:12">
      <c r="A9" s="6" t="str">
        <f>'SAP Results'!A9</f>
        <v>1</v>
      </c>
      <c r="B9" s="5">
        <f>'SAP Results'!B9</f>
        <v>2.6</v>
      </c>
      <c r="C9" s="5" t="str">
        <f>'SAP Results'!C9</f>
        <v>G-2</v>
      </c>
      <c r="D9" s="5" t="str">
        <f>'SAP Results'!D9</f>
        <v>LinStatic</v>
      </c>
      <c r="E9" s="5">
        <f>'SAP Results'!E9</f>
        <v>10.212999999999999</v>
      </c>
      <c r="F9" s="5">
        <f>'SAP Results'!F9</f>
        <v>1.0249999999999999</v>
      </c>
      <c r="G9" s="5">
        <f>'SAP Results'!G9</f>
        <v>0</v>
      </c>
      <c r="H9" s="5">
        <f>'SAP Results'!H9</f>
        <v>0</v>
      </c>
      <c r="I9" s="5">
        <f>'SAP Results'!I9</f>
        <v>0</v>
      </c>
      <c r="J9" s="5">
        <f>'SAP Results'!J9</f>
        <v>-7.4897999999999998</v>
      </c>
      <c r="K9" s="5" t="str">
        <f>'SAP Results'!K9</f>
        <v>1-1</v>
      </c>
      <c r="L9" s="5">
        <f>'SAP Results'!L9</f>
        <v>2.6</v>
      </c>
    </row>
    <row r="10" spans="1:12">
      <c r="A10" s="6" t="str">
        <f>'SAP Results'!A10</f>
        <v>1</v>
      </c>
      <c r="B10" s="5">
        <f>'SAP Results'!B10</f>
        <v>5.2</v>
      </c>
      <c r="C10" s="5" t="str">
        <f>'SAP Results'!C10</f>
        <v>G-2</v>
      </c>
      <c r="D10" s="5" t="str">
        <f>'SAP Results'!D10</f>
        <v>LinStatic</v>
      </c>
      <c r="E10" s="5">
        <f>'SAP Results'!E10</f>
        <v>10.212999999999999</v>
      </c>
      <c r="F10" s="5">
        <f>'SAP Results'!F10</f>
        <v>1.0249999999999999</v>
      </c>
      <c r="G10" s="5">
        <f>'SAP Results'!G10</f>
        <v>0</v>
      </c>
      <c r="H10" s="5">
        <f>'SAP Results'!H10</f>
        <v>0</v>
      </c>
      <c r="I10" s="5">
        <f>'SAP Results'!I10</f>
        <v>0</v>
      </c>
      <c r="J10" s="5">
        <f>'SAP Results'!J10</f>
        <v>-10.154299999999999</v>
      </c>
      <c r="K10" s="5" t="str">
        <f>'SAP Results'!K10</f>
        <v>1-1</v>
      </c>
      <c r="L10" s="5">
        <f>'SAP Results'!L10</f>
        <v>5.2</v>
      </c>
    </row>
    <row r="11" spans="1:12" hidden="1">
      <c r="A11" s="6" t="str">
        <f>'SAP Results'!A11</f>
        <v>1</v>
      </c>
      <c r="B11" s="5">
        <f>'SAP Results'!B11</f>
        <v>0</v>
      </c>
      <c r="C11" s="5" t="str">
        <f>'SAP Results'!C11</f>
        <v>Q-1</v>
      </c>
      <c r="D11" s="5" t="str">
        <f>'SAP Results'!D11</f>
        <v>LinStatic</v>
      </c>
      <c r="E11" s="5">
        <f>'SAP Results'!E11</f>
        <v>-77.08</v>
      </c>
      <c r="F11" s="5">
        <f>'SAP Results'!F11</f>
        <v>-16.934000000000001</v>
      </c>
      <c r="G11" s="5">
        <f>'SAP Results'!G11</f>
        <v>0</v>
      </c>
      <c r="H11" s="5">
        <f>'SAP Results'!H11</f>
        <v>0</v>
      </c>
      <c r="I11" s="5">
        <f>'SAP Results'!I11</f>
        <v>0</v>
      </c>
      <c r="J11" s="5">
        <f>'SAP Results'!J11</f>
        <v>-25.051600000000001</v>
      </c>
      <c r="K11" s="5" t="str">
        <f>'SAP Results'!K11</f>
        <v>1-1</v>
      </c>
      <c r="L11" s="5">
        <f>'SAP Results'!L11</f>
        <v>0</v>
      </c>
    </row>
    <row r="12" spans="1:12" hidden="1">
      <c r="A12" s="6" t="str">
        <f>'SAP Results'!A12</f>
        <v>1</v>
      </c>
      <c r="B12" s="5">
        <f>'SAP Results'!B12</f>
        <v>2.6</v>
      </c>
      <c r="C12" s="5" t="str">
        <f>'SAP Results'!C12</f>
        <v>Q-1</v>
      </c>
      <c r="D12" s="5" t="str">
        <f>'SAP Results'!D12</f>
        <v>LinStatic</v>
      </c>
      <c r="E12" s="5">
        <f>'SAP Results'!E12</f>
        <v>-77.08</v>
      </c>
      <c r="F12" s="5">
        <f>'SAP Results'!F12</f>
        <v>-16.934000000000001</v>
      </c>
      <c r="G12" s="5">
        <f>'SAP Results'!G12</f>
        <v>0</v>
      </c>
      <c r="H12" s="5">
        <f>'SAP Results'!H12</f>
        <v>0</v>
      </c>
      <c r="I12" s="5">
        <f>'SAP Results'!I12</f>
        <v>0</v>
      </c>
      <c r="J12" s="5">
        <f>'SAP Results'!J12</f>
        <v>18.976500000000001</v>
      </c>
      <c r="K12" s="5" t="str">
        <f>'SAP Results'!K12</f>
        <v>1-1</v>
      </c>
      <c r="L12" s="5">
        <f>'SAP Results'!L12</f>
        <v>2.6</v>
      </c>
    </row>
    <row r="13" spans="1:12" hidden="1">
      <c r="A13" s="6" t="str">
        <f>'SAP Results'!A13</f>
        <v>1</v>
      </c>
      <c r="B13" s="5">
        <f>'SAP Results'!B13</f>
        <v>5.2</v>
      </c>
      <c r="C13" s="5" t="str">
        <f>'SAP Results'!C13</f>
        <v>Q-1</v>
      </c>
      <c r="D13" s="5" t="str">
        <f>'SAP Results'!D13</f>
        <v>LinStatic</v>
      </c>
      <c r="E13" s="5">
        <f>'SAP Results'!E13</f>
        <v>-77.08</v>
      </c>
      <c r="F13" s="5">
        <f>'SAP Results'!F13</f>
        <v>-16.934000000000001</v>
      </c>
      <c r="G13" s="5">
        <f>'SAP Results'!G13</f>
        <v>0</v>
      </c>
      <c r="H13" s="5">
        <f>'SAP Results'!H13</f>
        <v>0</v>
      </c>
      <c r="I13" s="5">
        <f>'SAP Results'!I13</f>
        <v>0</v>
      </c>
      <c r="J13" s="5">
        <f>'SAP Results'!J13</f>
        <v>63.004600000000003</v>
      </c>
      <c r="K13" s="5" t="str">
        <f>'SAP Results'!K13</f>
        <v>1-1</v>
      </c>
      <c r="L13" s="5">
        <f>'SAP Results'!L13</f>
        <v>5.2</v>
      </c>
    </row>
    <row r="14" spans="1:12" hidden="1">
      <c r="A14" s="6" t="str">
        <f>'SAP Results'!A14</f>
        <v>1</v>
      </c>
      <c r="B14" s="5">
        <f>'SAP Results'!B14</f>
        <v>0</v>
      </c>
      <c r="C14" s="5" t="str">
        <f>'SAP Results'!C14</f>
        <v>Q-2</v>
      </c>
      <c r="D14" s="5" t="str">
        <f>'SAP Results'!D14</f>
        <v>LinStatic</v>
      </c>
      <c r="E14" s="5">
        <f>'SAP Results'!E14</f>
        <v>5.1529999999999996</v>
      </c>
      <c r="F14" s="5">
        <f>'SAP Results'!F14</f>
        <v>0.51700000000000002</v>
      </c>
      <c r="G14" s="5">
        <f>'SAP Results'!G14</f>
        <v>0</v>
      </c>
      <c r="H14" s="5">
        <f>'SAP Results'!H14</f>
        <v>0</v>
      </c>
      <c r="I14" s="5">
        <f>'SAP Results'!I14</f>
        <v>0</v>
      </c>
      <c r="J14" s="5">
        <f>'SAP Results'!J14</f>
        <v>-2.4344000000000001</v>
      </c>
      <c r="K14" s="5" t="str">
        <f>'SAP Results'!K14</f>
        <v>1-1</v>
      </c>
      <c r="L14" s="5">
        <f>'SAP Results'!L14</f>
        <v>0</v>
      </c>
    </row>
    <row r="15" spans="1:12" hidden="1">
      <c r="A15" s="6" t="str">
        <f>'SAP Results'!A15</f>
        <v>1</v>
      </c>
      <c r="B15" s="5">
        <f>'SAP Results'!B15</f>
        <v>2.6</v>
      </c>
      <c r="C15" s="5" t="str">
        <f>'SAP Results'!C15</f>
        <v>Q-2</v>
      </c>
      <c r="D15" s="5" t="str">
        <f>'SAP Results'!D15</f>
        <v>LinStatic</v>
      </c>
      <c r="E15" s="5">
        <f>'SAP Results'!E15</f>
        <v>5.1529999999999996</v>
      </c>
      <c r="F15" s="5">
        <f>'SAP Results'!F15</f>
        <v>0.51700000000000002</v>
      </c>
      <c r="G15" s="5">
        <f>'SAP Results'!G15</f>
        <v>0</v>
      </c>
      <c r="H15" s="5">
        <f>'SAP Results'!H15</f>
        <v>0</v>
      </c>
      <c r="I15" s="5">
        <f>'SAP Results'!I15</f>
        <v>0</v>
      </c>
      <c r="J15" s="5">
        <f>'SAP Results'!J15</f>
        <v>-3.7787000000000002</v>
      </c>
      <c r="K15" s="5" t="str">
        <f>'SAP Results'!K15</f>
        <v>1-1</v>
      </c>
      <c r="L15" s="5">
        <f>'SAP Results'!L15</f>
        <v>2.6</v>
      </c>
    </row>
    <row r="16" spans="1:12" hidden="1">
      <c r="A16" s="6" t="str">
        <f>'SAP Results'!A16</f>
        <v>1</v>
      </c>
      <c r="B16" s="5">
        <f>'SAP Results'!B16</f>
        <v>5.2</v>
      </c>
      <c r="C16" s="5" t="str">
        <f>'SAP Results'!C16</f>
        <v>Q-2</v>
      </c>
      <c r="D16" s="5" t="str">
        <f>'SAP Results'!D16</f>
        <v>LinStatic</v>
      </c>
      <c r="E16" s="5">
        <f>'SAP Results'!E16</f>
        <v>5.1529999999999996</v>
      </c>
      <c r="F16" s="5">
        <f>'SAP Results'!F16</f>
        <v>0.51700000000000002</v>
      </c>
      <c r="G16" s="5">
        <f>'SAP Results'!G16</f>
        <v>0</v>
      </c>
      <c r="H16" s="5">
        <f>'SAP Results'!H16</f>
        <v>0</v>
      </c>
      <c r="I16" s="5">
        <f>'SAP Results'!I16</f>
        <v>0</v>
      </c>
      <c r="J16" s="5">
        <f>'SAP Results'!J16</f>
        <v>-5.1230000000000002</v>
      </c>
      <c r="K16" s="5" t="str">
        <f>'SAP Results'!K16</f>
        <v>1-1</v>
      </c>
      <c r="L16" s="5">
        <f>'SAP Results'!L16</f>
        <v>5.2</v>
      </c>
    </row>
    <row r="17" spans="1:12" hidden="1">
      <c r="A17" s="6" t="str">
        <f>'SAP Results'!A17</f>
        <v>2</v>
      </c>
      <c r="B17" s="5">
        <f>'SAP Results'!B17</f>
        <v>0</v>
      </c>
      <c r="C17" s="5" t="str">
        <f>'SAP Results'!C17</f>
        <v>EX</v>
      </c>
      <c r="D17" s="5" t="str">
        <f>'SAP Results'!D17</f>
        <v>LinStatic</v>
      </c>
      <c r="E17" s="5">
        <f>'SAP Results'!E17</f>
        <v>6.5729999999999995E-16</v>
      </c>
      <c r="F17" s="5">
        <f>'SAP Results'!F17</f>
        <v>52.991999999999997</v>
      </c>
      <c r="G17" s="5">
        <f>'SAP Results'!G17</f>
        <v>0</v>
      </c>
      <c r="H17" s="5">
        <f>'SAP Results'!H17</f>
        <v>0</v>
      </c>
      <c r="I17" s="5">
        <f>'SAP Results'!I17</f>
        <v>0</v>
      </c>
      <c r="J17" s="5">
        <f>'SAP Results'!J17</f>
        <v>146.3998</v>
      </c>
      <c r="K17" s="5" t="str">
        <f>'SAP Results'!K17</f>
        <v>2-1</v>
      </c>
      <c r="L17" s="5">
        <f>'SAP Results'!L17</f>
        <v>0</v>
      </c>
    </row>
    <row r="18" spans="1:12" hidden="1">
      <c r="A18" s="6" t="str">
        <f>'SAP Results'!A18</f>
        <v>2</v>
      </c>
      <c r="B18" s="5">
        <f>'SAP Results'!B18</f>
        <v>2.6</v>
      </c>
      <c r="C18" s="5" t="str">
        <f>'SAP Results'!C18</f>
        <v>EX</v>
      </c>
      <c r="D18" s="5" t="str">
        <f>'SAP Results'!D18</f>
        <v>LinStatic</v>
      </c>
      <c r="E18" s="5">
        <f>'SAP Results'!E18</f>
        <v>6.5729999999999995E-16</v>
      </c>
      <c r="F18" s="5">
        <f>'SAP Results'!F18</f>
        <v>52.991999999999997</v>
      </c>
      <c r="G18" s="5">
        <f>'SAP Results'!G18</f>
        <v>0</v>
      </c>
      <c r="H18" s="5">
        <f>'SAP Results'!H18</f>
        <v>0</v>
      </c>
      <c r="I18" s="5">
        <f>'SAP Results'!I18</f>
        <v>0</v>
      </c>
      <c r="J18" s="5">
        <f>'SAP Results'!J18</f>
        <v>8.6204999999999998</v>
      </c>
      <c r="K18" s="5" t="str">
        <f>'SAP Results'!K18</f>
        <v>2-1</v>
      </c>
      <c r="L18" s="5">
        <f>'SAP Results'!L18</f>
        <v>2.6</v>
      </c>
    </row>
    <row r="19" spans="1:12" hidden="1">
      <c r="A19" s="6" t="str">
        <f>'SAP Results'!A19</f>
        <v>2</v>
      </c>
      <c r="B19" s="5">
        <f>'SAP Results'!B19</f>
        <v>5.2</v>
      </c>
      <c r="C19" s="5" t="str">
        <f>'SAP Results'!C19</f>
        <v>EX</v>
      </c>
      <c r="D19" s="5" t="str">
        <f>'SAP Results'!D19</f>
        <v>LinStatic</v>
      </c>
      <c r="E19" s="5">
        <f>'SAP Results'!E19</f>
        <v>6.5729999999999995E-16</v>
      </c>
      <c r="F19" s="5">
        <f>'SAP Results'!F19</f>
        <v>52.991999999999997</v>
      </c>
      <c r="G19" s="5">
        <f>'SAP Results'!G19</f>
        <v>0</v>
      </c>
      <c r="H19" s="5">
        <f>'SAP Results'!H19</f>
        <v>0</v>
      </c>
      <c r="I19" s="5">
        <f>'SAP Results'!I19</f>
        <v>0</v>
      </c>
      <c r="J19" s="5">
        <f>'SAP Results'!J19</f>
        <v>-129.15889999999999</v>
      </c>
      <c r="K19" s="5" t="str">
        <f>'SAP Results'!K19</f>
        <v>2-1</v>
      </c>
      <c r="L19" s="5">
        <f>'SAP Results'!L19</f>
        <v>5.2</v>
      </c>
    </row>
    <row r="20" spans="1:12" hidden="1">
      <c r="A20" s="6" t="str">
        <f>'SAP Results'!A20</f>
        <v>2</v>
      </c>
      <c r="B20" s="5">
        <f>'SAP Results'!B20</f>
        <v>0</v>
      </c>
      <c r="C20" s="5" t="str">
        <f>'SAP Results'!C20</f>
        <v>G-1</v>
      </c>
      <c r="D20" s="5" t="str">
        <f>'SAP Results'!D20</f>
        <v>LinStatic</v>
      </c>
      <c r="E20" s="5">
        <f>'SAP Results'!E20</f>
        <v>-178.54599999999999</v>
      </c>
      <c r="F20" s="5">
        <f>'SAP Results'!F20</f>
        <v>34.590000000000003</v>
      </c>
      <c r="G20" s="5">
        <f>'SAP Results'!G20</f>
        <v>0</v>
      </c>
      <c r="H20" s="5">
        <f>'SAP Results'!H20</f>
        <v>0</v>
      </c>
      <c r="I20" s="5">
        <f>'SAP Results'!I20</f>
        <v>0</v>
      </c>
      <c r="J20" s="5">
        <f>'SAP Results'!J20</f>
        <v>64.453100000000006</v>
      </c>
      <c r="K20" s="5" t="str">
        <f>'SAP Results'!K20</f>
        <v>2-1</v>
      </c>
      <c r="L20" s="5">
        <f>'SAP Results'!L20</f>
        <v>0</v>
      </c>
    </row>
    <row r="21" spans="1:12" ht="15.75" hidden="1" customHeight="1">
      <c r="A21" s="6" t="str">
        <f>'SAP Results'!A21</f>
        <v>2</v>
      </c>
      <c r="B21" s="5">
        <f>'SAP Results'!B21</f>
        <v>2.6</v>
      </c>
      <c r="C21" s="5" t="str">
        <f>'SAP Results'!C21</f>
        <v>G-1</v>
      </c>
      <c r="D21" s="5" t="str">
        <f>'SAP Results'!D21</f>
        <v>LinStatic</v>
      </c>
      <c r="E21" s="5">
        <f>'SAP Results'!E21</f>
        <v>-178.54599999999999</v>
      </c>
      <c r="F21" s="5">
        <f>'SAP Results'!F21</f>
        <v>34.590000000000003</v>
      </c>
      <c r="G21" s="5">
        <f>'SAP Results'!G21</f>
        <v>0</v>
      </c>
      <c r="H21" s="5">
        <f>'SAP Results'!H21</f>
        <v>0</v>
      </c>
      <c r="I21" s="5">
        <f>'SAP Results'!I21</f>
        <v>0</v>
      </c>
      <c r="J21" s="5">
        <f>'SAP Results'!J21</f>
        <v>-25.48</v>
      </c>
      <c r="K21" s="5" t="str">
        <f>'SAP Results'!K21</f>
        <v>2-1</v>
      </c>
      <c r="L21" s="5">
        <f>'SAP Results'!L21</f>
        <v>2.6</v>
      </c>
    </row>
    <row r="22" spans="1:12" ht="15.75" hidden="1" customHeight="1">
      <c r="A22" s="6" t="str">
        <f>'SAP Results'!A22</f>
        <v>2</v>
      </c>
      <c r="B22" s="5">
        <f>'SAP Results'!B22</f>
        <v>5.2</v>
      </c>
      <c r="C22" s="5" t="str">
        <f>'SAP Results'!C22</f>
        <v>G-1</v>
      </c>
      <c r="D22" s="5" t="str">
        <f>'SAP Results'!D22</f>
        <v>LinStatic</v>
      </c>
      <c r="E22" s="5">
        <f>'SAP Results'!E22</f>
        <v>-178.54599999999999</v>
      </c>
      <c r="F22" s="5">
        <f>'SAP Results'!F22</f>
        <v>34.590000000000003</v>
      </c>
      <c r="G22" s="5">
        <f>'SAP Results'!G22</f>
        <v>0</v>
      </c>
      <c r="H22" s="5">
        <f>'SAP Results'!H22</f>
        <v>0</v>
      </c>
      <c r="I22" s="5">
        <f>'SAP Results'!I22</f>
        <v>0</v>
      </c>
      <c r="J22" s="5">
        <f>'SAP Results'!J22</f>
        <v>-115.4132</v>
      </c>
      <c r="K22" s="5" t="str">
        <f>'SAP Results'!K22</f>
        <v>2-1</v>
      </c>
      <c r="L22" s="5">
        <f>'SAP Results'!L22</f>
        <v>5.2</v>
      </c>
    </row>
    <row r="23" spans="1:12" ht="15.75" customHeight="1">
      <c r="A23" s="6" t="str">
        <f>'SAP Results'!A23</f>
        <v>2</v>
      </c>
      <c r="B23" s="5">
        <f>'SAP Results'!B23</f>
        <v>0</v>
      </c>
      <c r="C23" s="5" t="str">
        <f>'SAP Results'!C23</f>
        <v>G-2</v>
      </c>
      <c r="D23" s="5" t="str">
        <f>'SAP Results'!D23</f>
        <v>LinStatic</v>
      </c>
      <c r="E23" s="5">
        <f>'SAP Results'!E23</f>
        <v>-178.54599999999999</v>
      </c>
      <c r="F23" s="5">
        <f>'SAP Results'!F23</f>
        <v>-34.590000000000003</v>
      </c>
      <c r="G23" s="5">
        <f>'SAP Results'!G23</f>
        <v>0</v>
      </c>
      <c r="H23" s="5">
        <f>'SAP Results'!H23</f>
        <v>0</v>
      </c>
      <c r="I23" s="5">
        <f>'SAP Results'!I23</f>
        <v>0</v>
      </c>
      <c r="J23" s="5">
        <f>'SAP Results'!J23</f>
        <v>-64.453100000000006</v>
      </c>
      <c r="K23" s="5" t="str">
        <f>'SAP Results'!K23</f>
        <v>2-1</v>
      </c>
      <c r="L23" s="5">
        <f>'SAP Results'!L23</f>
        <v>0</v>
      </c>
    </row>
    <row r="24" spans="1:12" ht="15.75" customHeight="1">
      <c r="A24" s="6" t="str">
        <f>'SAP Results'!A24</f>
        <v>2</v>
      </c>
      <c r="B24" s="5">
        <f>'SAP Results'!B24</f>
        <v>2.6</v>
      </c>
      <c r="C24" s="5" t="str">
        <f>'SAP Results'!C24</f>
        <v>G-2</v>
      </c>
      <c r="D24" s="5" t="str">
        <f>'SAP Results'!D24</f>
        <v>LinStatic</v>
      </c>
      <c r="E24" s="5">
        <f>'SAP Results'!E24</f>
        <v>-178.54599999999999</v>
      </c>
      <c r="F24" s="5">
        <f>'SAP Results'!F24</f>
        <v>-34.590000000000003</v>
      </c>
      <c r="G24" s="5">
        <f>'SAP Results'!G24</f>
        <v>0</v>
      </c>
      <c r="H24" s="5">
        <f>'SAP Results'!H24</f>
        <v>0</v>
      </c>
      <c r="I24" s="5">
        <f>'SAP Results'!I24</f>
        <v>0</v>
      </c>
      <c r="J24" s="5">
        <f>'SAP Results'!J24</f>
        <v>25.48</v>
      </c>
      <c r="K24" s="5" t="str">
        <f>'SAP Results'!K24</f>
        <v>2-1</v>
      </c>
      <c r="L24" s="5">
        <f>'SAP Results'!L24</f>
        <v>2.6</v>
      </c>
    </row>
    <row r="25" spans="1:12" ht="15.75" customHeight="1">
      <c r="A25" s="6" t="str">
        <f>'SAP Results'!A25</f>
        <v>2</v>
      </c>
      <c r="B25" s="5">
        <f>'SAP Results'!B25</f>
        <v>5.2</v>
      </c>
      <c r="C25" s="5" t="str">
        <f>'SAP Results'!C25</f>
        <v>G-2</v>
      </c>
      <c r="D25" s="5" t="str">
        <f>'SAP Results'!D25</f>
        <v>LinStatic</v>
      </c>
      <c r="E25" s="5">
        <f>'SAP Results'!E25</f>
        <v>-178.54599999999999</v>
      </c>
      <c r="F25" s="5">
        <f>'SAP Results'!F25</f>
        <v>-34.590000000000003</v>
      </c>
      <c r="G25" s="5">
        <f>'SAP Results'!G25</f>
        <v>0</v>
      </c>
      <c r="H25" s="5">
        <f>'SAP Results'!H25</f>
        <v>0</v>
      </c>
      <c r="I25" s="5">
        <f>'SAP Results'!I25</f>
        <v>0</v>
      </c>
      <c r="J25" s="5">
        <f>'SAP Results'!J25</f>
        <v>115.4132</v>
      </c>
      <c r="K25" s="5" t="str">
        <f>'SAP Results'!K25</f>
        <v>2-1</v>
      </c>
      <c r="L25" s="5">
        <f>'SAP Results'!L25</f>
        <v>5.2</v>
      </c>
    </row>
    <row r="26" spans="1:12" ht="15.75" hidden="1" customHeight="1">
      <c r="A26" s="6" t="str">
        <f>'SAP Results'!A26</f>
        <v>2</v>
      </c>
      <c r="B26" s="5">
        <f>'SAP Results'!B26</f>
        <v>0</v>
      </c>
      <c r="C26" s="5" t="str">
        <f>'SAP Results'!C26</f>
        <v>Q-1</v>
      </c>
      <c r="D26" s="5" t="str">
        <f>'SAP Results'!D26</f>
        <v>LinStatic</v>
      </c>
      <c r="E26" s="5">
        <f>'SAP Results'!E26</f>
        <v>-90.078999999999994</v>
      </c>
      <c r="F26" s="5">
        <f>'SAP Results'!F26</f>
        <v>17.451000000000001</v>
      </c>
      <c r="G26" s="5">
        <f>'SAP Results'!G26</f>
        <v>0</v>
      </c>
      <c r="H26" s="5">
        <f>'SAP Results'!H26</f>
        <v>0</v>
      </c>
      <c r="I26" s="5">
        <f>'SAP Results'!I26</f>
        <v>0</v>
      </c>
      <c r="J26" s="5">
        <f>'SAP Results'!J26</f>
        <v>32.517400000000002</v>
      </c>
      <c r="K26" s="5" t="str">
        <f>'SAP Results'!K26</f>
        <v>2-1</v>
      </c>
      <c r="L26" s="5">
        <f>'SAP Results'!L26</f>
        <v>0</v>
      </c>
    </row>
    <row r="27" spans="1:12" ht="15.75" hidden="1" customHeight="1">
      <c r="A27" s="6" t="str">
        <f>'SAP Results'!A27</f>
        <v>2</v>
      </c>
      <c r="B27" s="5">
        <f>'SAP Results'!B27</f>
        <v>2.6</v>
      </c>
      <c r="C27" s="5" t="str">
        <f>'SAP Results'!C27</f>
        <v>Q-1</v>
      </c>
      <c r="D27" s="5" t="str">
        <f>'SAP Results'!D27</f>
        <v>LinStatic</v>
      </c>
      <c r="E27" s="5">
        <f>'SAP Results'!E27</f>
        <v>-90.078999999999994</v>
      </c>
      <c r="F27" s="5">
        <f>'SAP Results'!F27</f>
        <v>17.451000000000001</v>
      </c>
      <c r="G27" s="5">
        <f>'SAP Results'!G27</f>
        <v>0</v>
      </c>
      <c r="H27" s="5">
        <f>'SAP Results'!H27</f>
        <v>0</v>
      </c>
      <c r="I27" s="5">
        <f>'SAP Results'!I27</f>
        <v>0</v>
      </c>
      <c r="J27" s="5">
        <f>'SAP Results'!J27</f>
        <v>-12.855</v>
      </c>
      <c r="K27" s="5" t="str">
        <f>'SAP Results'!K27</f>
        <v>2-1</v>
      </c>
      <c r="L27" s="5">
        <f>'SAP Results'!L27</f>
        <v>2.6</v>
      </c>
    </row>
    <row r="28" spans="1:12" ht="15.75" hidden="1" customHeight="1">
      <c r="A28" s="6" t="str">
        <f>'SAP Results'!A28</f>
        <v>2</v>
      </c>
      <c r="B28" s="5">
        <f>'SAP Results'!B28</f>
        <v>5.2</v>
      </c>
      <c r="C28" s="5" t="str">
        <f>'SAP Results'!C28</f>
        <v>Q-1</v>
      </c>
      <c r="D28" s="5" t="str">
        <f>'SAP Results'!D28</f>
        <v>LinStatic</v>
      </c>
      <c r="E28" s="5">
        <f>'SAP Results'!E28</f>
        <v>-90.078999999999994</v>
      </c>
      <c r="F28" s="5">
        <f>'SAP Results'!F28</f>
        <v>17.451000000000001</v>
      </c>
      <c r="G28" s="5">
        <f>'SAP Results'!G28</f>
        <v>0</v>
      </c>
      <c r="H28" s="5">
        <f>'SAP Results'!H28</f>
        <v>0</v>
      </c>
      <c r="I28" s="5">
        <f>'SAP Results'!I28</f>
        <v>0</v>
      </c>
      <c r="J28" s="5">
        <f>'SAP Results'!J28</f>
        <v>-58.227400000000003</v>
      </c>
      <c r="K28" s="5" t="str">
        <f>'SAP Results'!K28</f>
        <v>2-1</v>
      </c>
      <c r="L28" s="5">
        <f>'SAP Results'!L28</f>
        <v>5.2</v>
      </c>
    </row>
    <row r="29" spans="1:12" ht="15.75" hidden="1" customHeight="1">
      <c r="A29" s="6" t="str">
        <f>'SAP Results'!A29</f>
        <v>2</v>
      </c>
      <c r="B29" s="5">
        <f>'SAP Results'!B29</f>
        <v>0</v>
      </c>
      <c r="C29" s="5" t="str">
        <f>'SAP Results'!C29</f>
        <v>Q-2</v>
      </c>
      <c r="D29" s="5" t="str">
        <f>'SAP Results'!D29</f>
        <v>LinStatic</v>
      </c>
      <c r="E29" s="5">
        <f>'SAP Results'!E29</f>
        <v>-90.078999999999994</v>
      </c>
      <c r="F29" s="5">
        <f>'SAP Results'!F29</f>
        <v>-17.451000000000001</v>
      </c>
      <c r="G29" s="5">
        <f>'SAP Results'!G29</f>
        <v>0</v>
      </c>
      <c r="H29" s="5">
        <f>'SAP Results'!H29</f>
        <v>0</v>
      </c>
      <c r="I29" s="5">
        <f>'SAP Results'!I29</f>
        <v>0</v>
      </c>
      <c r="J29" s="5">
        <f>'SAP Results'!J29</f>
        <v>-32.517400000000002</v>
      </c>
      <c r="K29" s="5" t="str">
        <f>'SAP Results'!K29</f>
        <v>2-1</v>
      </c>
      <c r="L29" s="5">
        <f>'SAP Results'!L29</f>
        <v>0</v>
      </c>
    </row>
    <row r="30" spans="1:12" ht="15.75" hidden="1" customHeight="1">
      <c r="A30" s="6" t="str">
        <f>'SAP Results'!A30</f>
        <v>2</v>
      </c>
      <c r="B30" s="5">
        <f>'SAP Results'!B30</f>
        <v>2.6</v>
      </c>
      <c r="C30" s="5" t="str">
        <f>'SAP Results'!C30</f>
        <v>Q-2</v>
      </c>
      <c r="D30" s="5" t="str">
        <f>'SAP Results'!D30</f>
        <v>LinStatic</v>
      </c>
      <c r="E30" s="5">
        <f>'SAP Results'!E30</f>
        <v>-90.078999999999994</v>
      </c>
      <c r="F30" s="5">
        <f>'SAP Results'!F30</f>
        <v>-17.451000000000001</v>
      </c>
      <c r="G30" s="5">
        <f>'SAP Results'!G30</f>
        <v>0</v>
      </c>
      <c r="H30" s="5">
        <f>'SAP Results'!H30</f>
        <v>0</v>
      </c>
      <c r="I30" s="5">
        <f>'SAP Results'!I30</f>
        <v>0</v>
      </c>
      <c r="J30" s="5">
        <f>'SAP Results'!J30</f>
        <v>12.855</v>
      </c>
      <c r="K30" s="5" t="str">
        <f>'SAP Results'!K30</f>
        <v>2-1</v>
      </c>
      <c r="L30" s="5">
        <f>'SAP Results'!L30</f>
        <v>2.6</v>
      </c>
    </row>
    <row r="31" spans="1:12" ht="15.75" hidden="1" customHeight="1">
      <c r="A31" s="6" t="str">
        <f>'SAP Results'!A31</f>
        <v>2</v>
      </c>
      <c r="B31" s="5">
        <f>'SAP Results'!B31</f>
        <v>5.2</v>
      </c>
      <c r="C31" s="5" t="str">
        <f>'SAP Results'!C31</f>
        <v>Q-2</v>
      </c>
      <c r="D31" s="5" t="str">
        <f>'SAP Results'!D31</f>
        <v>LinStatic</v>
      </c>
      <c r="E31" s="5">
        <f>'SAP Results'!E31</f>
        <v>-90.078999999999994</v>
      </c>
      <c r="F31" s="5">
        <f>'SAP Results'!F31</f>
        <v>-17.451000000000001</v>
      </c>
      <c r="G31" s="5">
        <f>'SAP Results'!G31</f>
        <v>0</v>
      </c>
      <c r="H31" s="5">
        <f>'SAP Results'!H31</f>
        <v>0</v>
      </c>
      <c r="I31" s="5">
        <f>'SAP Results'!I31</f>
        <v>0</v>
      </c>
      <c r="J31" s="5">
        <f>'SAP Results'!J31</f>
        <v>58.227400000000003</v>
      </c>
      <c r="K31" s="5" t="str">
        <f>'SAP Results'!K31</f>
        <v>2-1</v>
      </c>
      <c r="L31" s="5">
        <f>'SAP Results'!L31</f>
        <v>5.2</v>
      </c>
    </row>
    <row r="32" spans="1:12" ht="15.75" hidden="1" customHeight="1">
      <c r="A32" s="6" t="str">
        <f>'SAP Results'!A32</f>
        <v>3</v>
      </c>
      <c r="B32" s="5">
        <f>'SAP Results'!B32</f>
        <v>0</v>
      </c>
      <c r="C32" s="5" t="str">
        <f>'SAP Results'!C32</f>
        <v>EX</v>
      </c>
      <c r="D32" s="5" t="str">
        <f>'SAP Results'!D32</f>
        <v>LinStatic</v>
      </c>
      <c r="E32" s="5">
        <f>'SAP Results'!E32</f>
        <v>-18.693999999999999</v>
      </c>
      <c r="F32" s="5">
        <f>'SAP Results'!F32</f>
        <v>40.723999999999997</v>
      </c>
      <c r="G32" s="5">
        <f>'SAP Results'!G32</f>
        <v>0</v>
      </c>
      <c r="H32" s="5">
        <f>'SAP Results'!H32</f>
        <v>0</v>
      </c>
      <c r="I32" s="5">
        <f>'SAP Results'!I32</f>
        <v>0</v>
      </c>
      <c r="J32" s="5">
        <f>'SAP Results'!J32</f>
        <v>125.8599</v>
      </c>
      <c r="K32" s="5" t="str">
        <f>'SAP Results'!K32</f>
        <v>3-1</v>
      </c>
      <c r="L32" s="5">
        <f>'SAP Results'!L32</f>
        <v>0</v>
      </c>
    </row>
    <row r="33" spans="1:12" ht="15.75" hidden="1" customHeight="1">
      <c r="A33" s="6" t="str">
        <f>'SAP Results'!A33</f>
        <v>3</v>
      </c>
      <c r="B33" s="5">
        <f>'SAP Results'!B33</f>
        <v>2.6</v>
      </c>
      <c r="C33" s="5" t="str">
        <f>'SAP Results'!C33</f>
        <v>EX</v>
      </c>
      <c r="D33" s="5" t="str">
        <f>'SAP Results'!D33</f>
        <v>LinStatic</v>
      </c>
      <c r="E33" s="5">
        <f>'SAP Results'!E33</f>
        <v>-18.693999999999999</v>
      </c>
      <c r="F33" s="5">
        <f>'SAP Results'!F33</f>
        <v>40.723999999999997</v>
      </c>
      <c r="G33" s="5">
        <f>'SAP Results'!G33</f>
        <v>0</v>
      </c>
      <c r="H33" s="5">
        <f>'SAP Results'!H33</f>
        <v>0</v>
      </c>
      <c r="I33" s="5">
        <f>'SAP Results'!I33</f>
        <v>0</v>
      </c>
      <c r="J33" s="5">
        <f>'SAP Results'!J33</f>
        <v>19.977599999999999</v>
      </c>
      <c r="K33" s="5" t="str">
        <f>'SAP Results'!K33</f>
        <v>3-1</v>
      </c>
      <c r="L33" s="5">
        <f>'SAP Results'!L33</f>
        <v>2.6</v>
      </c>
    </row>
    <row r="34" spans="1:12" ht="15.75" hidden="1" customHeight="1">
      <c r="A34" s="6" t="str">
        <f>'SAP Results'!A34</f>
        <v>3</v>
      </c>
      <c r="B34" s="5">
        <f>'SAP Results'!B34</f>
        <v>5.2</v>
      </c>
      <c r="C34" s="5" t="str">
        <f>'SAP Results'!C34</f>
        <v>EX</v>
      </c>
      <c r="D34" s="5" t="str">
        <f>'SAP Results'!D34</f>
        <v>LinStatic</v>
      </c>
      <c r="E34" s="5">
        <f>'SAP Results'!E34</f>
        <v>-18.693999999999999</v>
      </c>
      <c r="F34" s="5">
        <f>'SAP Results'!F34</f>
        <v>40.723999999999997</v>
      </c>
      <c r="G34" s="5">
        <f>'SAP Results'!G34</f>
        <v>0</v>
      </c>
      <c r="H34" s="5">
        <f>'SAP Results'!H34</f>
        <v>0</v>
      </c>
      <c r="I34" s="5">
        <f>'SAP Results'!I34</f>
        <v>0</v>
      </c>
      <c r="J34" s="5">
        <f>'SAP Results'!J34</f>
        <v>-85.904799999999994</v>
      </c>
      <c r="K34" s="5" t="str">
        <f>'SAP Results'!K34</f>
        <v>3-1</v>
      </c>
      <c r="L34" s="5">
        <f>'SAP Results'!L34</f>
        <v>5.2</v>
      </c>
    </row>
    <row r="35" spans="1:12" ht="15.75" hidden="1" customHeight="1">
      <c r="A35" s="6" t="str">
        <f>'SAP Results'!A35</f>
        <v>3</v>
      </c>
      <c r="B35" s="5">
        <f>'SAP Results'!B35</f>
        <v>0</v>
      </c>
      <c r="C35" s="5" t="str">
        <f>'SAP Results'!C35</f>
        <v>G-1</v>
      </c>
      <c r="D35" s="5" t="str">
        <f>'SAP Results'!D35</f>
        <v>LinStatic</v>
      </c>
      <c r="E35" s="5">
        <f>'SAP Results'!E35</f>
        <v>10.212999999999999</v>
      </c>
      <c r="F35" s="5">
        <f>'SAP Results'!F35</f>
        <v>-1.0249999999999999</v>
      </c>
      <c r="G35" s="5">
        <f>'SAP Results'!G35</f>
        <v>0</v>
      </c>
      <c r="H35" s="5">
        <f>'SAP Results'!H35</f>
        <v>0</v>
      </c>
      <c r="I35" s="5">
        <f>'SAP Results'!I35</f>
        <v>0</v>
      </c>
      <c r="J35" s="5">
        <f>'SAP Results'!J35</f>
        <v>4.8253000000000004</v>
      </c>
      <c r="K35" s="5" t="str">
        <f>'SAP Results'!K35</f>
        <v>3-1</v>
      </c>
      <c r="L35" s="5">
        <f>'SAP Results'!L35</f>
        <v>0</v>
      </c>
    </row>
    <row r="36" spans="1:12" ht="15.75" hidden="1" customHeight="1">
      <c r="A36" s="6" t="str">
        <f>'SAP Results'!A36</f>
        <v>3</v>
      </c>
      <c r="B36" s="5">
        <f>'SAP Results'!B36</f>
        <v>2.6</v>
      </c>
      <c r="C36" s="5" t="str">
        <f>'SAP Results'!C36</f>
        <v>G-1</v>
      </c>
      <c r="D36" s="5" t="str">
        <f>'SAP Results'!D36</f>
        <v>LinStatic</v>
      </c>
      <c r="E36" s="5">
        <f>'SAP Results'!E36</f>
        <v>10.212999999999999</v>
      </c>
      <c r="F36" s="5">
        <f>'SAP Results'!F36</f>
        <v>-1.0249999999999999</v>
      </c>
      <c r="G36" s="5">
        <f>'SAP Results'!G36</f>
        <v>0</v>
      </c>
      <c r="H36" s="5">
        <f>'SAP Results'!H36</f>
        <v>0</v>
      </c>
      <c r="I36" s="5">
        <f>'SAP Results'!I36</f>
        <v>0</v>
      </c>
      <c r="J36" s="5">
        <f>'SAP Results'!J36</f>
        <v>7.4897999999999998</v>
      </c>
      <c r="K36" s="5" t="str">
        <f>'SAP Results'!K36</f>
        <v>3-1</v>
      </c>
      <c r="L36" s="5">
        <f>'SAP Results'!L36</f>
        <v>2.6</v>
      </c>
    </row>
    <row r="37" spans="1:12" ht="15.75" hidden="1" customHeight="1">
      <c r="A37" s="6" t="str">
        <f>'SAP Results'!A37</f>
        <v>3</v>
      </c>
      <c r="B37" s="5">
        <f>'SAP Results'!B37</f>
        <v>5.2</v>
      </c>
      <c r="C37" s="5" t="str">
        <f>'SAP Results'!C37</f>
        <v>G-1</v>
      </c>
      <c r="D37" s="5" t="str">
        <f>'SAP Results'!D37</f>
        <v>LinStatic</v>
      </c>
      <c r="E37" s="5">
        <f>'SAP Results'!E37</f>
        <v>10.212999999999999</v>
      </c>
      <c r="F37" s="5">
        <f>'SAP Results'!F37</f>
        <v>-1.0249999999999999</v>
      </c>
      <c r="G37" s="5">
        <f>'SAP Results'!G37</f>
        <v>0</v>
      </c>
      <c r="H37" s="5">
        <f>'SAP Results'!H37</f>
        <v>0</v>
      </c>
      <c r="I37" s="5">
        <f>'SAP Results'!I37</f>
        <v>0</v>
      </c>
      <c r="J37" s="5">
        <f>'SAP Results'!J37</f>
        <v>10.154299999999999</v>
      </c>
      <c r="K37" s="5" t="str">
        <f>'SAP Results'!K37</f>
        <v>3-1</v>
      </c>
      <c r="L37" s="5">
        <f>'SAP Results'!L37</f>
        <v>5.2</v>
      </c>
    </row>
    <row r="38" spans="1:12" ht="15.75" customHeight="1">
      <c r="A38" s="6" t="str">
        <f>'SAP Results'!A38</f>
        <v>3</v>
      </c>
      <c r="B38" s="5">
        <f>'SAP Results'!B38</f>
        <v>0</v>
      </c>
      <c r="C38" s="5" t="str">
        <f>'SAP Results'!C38</f>
        <v>G-2</v>
      </c>
      <c r="D38" s="5" t="str">
        <f>'SAP Results'!D38</f>
        <v>LinStatic</v>
      </c>
      <c r="E38" s="5">
        <f>'SAP Results'!E38</f>
        <v>-152.78200000000001</v>
      </c>
      <c r="F38" s="5">
        <f>'SAP Results'!F38</f>
        <v>33.564999999999998</v>
      </c>
      <c r="G38" s="5">
        <f>'SAP Results'!G38</f>
        <v>0</v>
      </c>
      <c r="H38" s="5">
        <f>'SAP Results'!H38</f>
        <v>0</v>
      </c>
      <c r="I38" s="5">
        <f>'SAP Results'!I38</f>
        <v>0</v>
      </c>
      <c r="J38" s="5">
        <f>'SAP Results'!J38</f>
        <v>49.655099999999997</v>
      </c>
      <c r="K38" s="5" t="str">
        <f>'SAP Results'!K38</f>
        <v>3-1</v>
      </c>
      <c r="L38" s="5">
        <f>'SAP Results'!L38</f>
        <v>0</v>
      </c>
    </row>
    <row r="39" spans="1:12" ht="15.75" customHeight="1">
      <c r="A39" s="6" t="str">
        <f>'SAP Results'!A39</f>
        <v>3</v>
      </c>
      <c r="B39" s="5">
        <f>'SAP Results'!B39</f>
        <v>2.6</v>
      </c>
      <c r="C39" s="5" t="str">
        <f>'SAP Results'!C39</f>
        <v>G-2</v>
      </c>
      <c r="D39" s="5" t="str">
        <f>'SAP Results'!D39</f>
        <v>LinStatic</v>
      </c>
      <c r="E39" s="5">
        <f>'SAP Results'!E39</f>
        <v>-152.78200000000001</v>
      </c>
      <c r="F39" s="5">
        <f>'SAP Results'!F39</f>
        <v>33.564999999999998</v>
      </c>
      <c r="G39" s="5">
        <f>'SAP Results'!G39</f>
        <v>0</v>
      </c>
      <c r="H39" s="5">
        <f>'SAP Results'!H39</f>
        <v>0</v>
      </c>
      <c r="I39" s="5">
        <f>'SAP Results'!I39</f>
        <v>0</v>
      </c>
      <c r="J39" s="5">
        <f>'SAP Results'!J39</f>
        <v>-37.613599999999998</v>
      </c>
      <c r="K39" s="5" t="str">
        <f>'SAP Results'!K39</f>
        <v>3-1</v>
      </c>
      <c r="L39" s="5">
        <f>'SAP Results'!L39</f>
        <v>2.6</v>
      </c>
    </row>
    <row r="40" spans="1:12" ht="15.75" customHeight="1">
      <c r="A40" s="6" t="str">
        <f>'SAP Results'!A40</f>
        <v>3</v>
      </c>
      <c r="B40" s="5">
        <f>'SAP Results'!B40</f>
        <v>5.2</v>
      </c>
      <c r="C40" s="5" t="str">
        <f>'SAP Results'!C40</f>
        <v>G-2</v>
      </c>
      <c r="D40" s="5" t="str">
        <f>'SAP Results'!D40</f>
        <v>LinStatic</v>
      </c>
      <c r="E40" s="5">
        <f>'SAP Results'!E40</f>
        <v>-152.78200000000001</v>
      </c>
      <c r="F40" s="5">
        <f>'SAP Results'!F40</f>
        <v>33.564999999999998</v>
      </c>
      <c r="G40" s="5">
        <f>'SAP Results'!G40</f>
        <v>0</v>
      </c>
      <c r="H40" s="5">
        <f>'SAP Results'!H40</f>
        <v>0</v>
      </c>
      <c r="I40" s="5">
        <f>'SAP Results'!I40</f>
        <v>0</v>
      </c>
      <c r="J40" s="5">
        <f>'SAP Results'!J40</f>
        <v>-124.8822</v>
      </c>
      <c r="K40" s="5" t="str">
        <f>'SAP Results'!K40</f>
        <v>3-1</v>
      </c>
      <c r="L40" s="5">
        <f>'SAP Results'!L40</f>
        <v>5.2</v>
      </c>
    </row>
    <row r="41" spans="1:12" ht="15.75" hidden="1" customHeight="1">
      <c r="A41" s="6" t="str">
        <f>'SAP Results'!A41</f>
        <v>3</v>
      </c>
      <c r="B41" s="5">
        <f>'SAP Results'!B41</f>
        <v>0</v>
      </c>
      <c r="C41" s="5" t="str">
        <f>'SAP Results'!C41</f>
        <v>Q-1</v>
      </c>
      <c r="D41" s="5" t="str">
        <f>'SAP Results'!D41</f>
        <v>LinStatic</v>
      </c>
      <c r="E41" s="5">
        <f>'SAP Results'!E41</f>
        <v>5.1529999999999996</v>
      </c>
      <c r="F41" s="5">
        <f>'SAP Results'!F41</f>
        <v>-0.51700000000000002</v>
      </c>
      <c r="G41" s="5">
        <f>'SAP Results'!G41</f>
        <v>0</v>
      </c>
      <c r="H41" s="5">
        <f>'SAP Results'!H41</f>
        <v>0</v>
      </c>
      <c r="I41" s="5">
        <f>'SAP Results'!I41</f>
        <v>0</v>
      </c>
      <c r="J41" s="5">
        <f>'SAP Results'!J41</f>
        <v>2.4344000000000001</v>
      </c>
      <c r="K41" s="5" t="str">
        <f>'SAP Results'!K41</f>
        <v>3-1</v>
      </c>
      <c r="L41" s="5">
        <f>'SAP Results'!L41</f>
        <v>0</v>
      </c>
    </row>
    <row r="42" spans="1:12" ht="15.75" hidden="1" customHeight="1">
      <c r="A42" s="6" t="str">
        <f>'SAP Results'!A42</f>
        <v>3</v>
      </c>
      <c r="B42" s="5">
        <f>'SAP Results'!B42</f>
        <v>2.6</v>
      </c>
      <c r="C42" s="5" t="str">
        <f>'SAP Results'!C42</f>
        <v>Q-1</v>
      </c>
      <c r="D42" s="5" t="str">
        <f>'SAP Results'!D42</f>
        <v>LinStatic</v>
      </c>
      <c r="E42" s="5">
        <f>'SAP Results'!E42</f>
        <v>5.1529999999999996</v>
      </c>
      <c r="F42" s="5">
        <f>'SAP Results'!F42</f>
        <v>-0.51700000000000002</v>
      </c>
      <c r="G42" s="5">
        <f>'SAP Results'!G42</f>
        <v>0</v>
      </c>
      <c r="H42" s="5">
        <f>'SAP Results'!H42</f>
        <v>0</v>
      </c>
      <c r="I42" s="5">
        <f>'SAP Results'!I42</f>
        <v>0</v>
      </c>
      <c r="J42" s="5">
        <f>'SAP Results'!J42</f>
        <v>3.7787000000000002</v>
      </c>
      <c r="K42" s="5" t="str">
        <f>'SAP Results'!K42</f>
        <v>3-1</v>
      </c>
      <c r="L42" s="5">
        <f>'SAP Results'!L42</f>
        <v>2.6</v>
      </c>
    </row>
    <row r="43" spans="1:12" ht="15.75" hidden="1" customHeight="1">
      <c r="A43" s="6" t="str">
        <f>'SAP Results'!A43</f>
        <v>3</v>
      </c>
      <c r="B43" s="5">
        <f>'SAP Results'!B43</f>
        <v>5.2</v>
      </c>
      <c r="C43" s="5" t="str">
        <f>'SAP Results'!C43</f>
        <v>Q-1</v>
      </c>
      <c r="D43" s="5" t="str">
        <f>'SAP Results'!D43</f>
        <v>LinStatic</v>
      </c>
      <c r="E43" s="5">
        <f>'SAP Results'!E43</f>
        <v>5.1529999999999996</v>
      </c>
      <c r="F43" s="5">
        <f>'SAP Results'!F43</f>
        <v>-0.51700000000000002</v>
      </c>
      <c r="G43" s="5">
        <f>'SAP Results'!G43</f>
        <v>0</v>
      </c>
      <c r="H43" s="5">
        <f>'SAP Results'!H43</f>
        <v>0</v>
      </c>
      <c r="I43" s="5">
        <f>'SAP Results'!I43</f>
        <v>0</v>
      </c>
      <c r="J43" s="5">
        <f>'SAP Results'!J43</f>
        <v>5.1230000000000002</v>
      </c>
      <c r="K43" s="5" t="str">
        <f>'SAP Results'!K43</f>
        <v>3-1</v>
      </c>
      <c r="L43" s="5">
        <f>'SAP Results'!L43</f>
        <v>5.2</v>
      </c>
    </row>
    <row r="44" spans="1:12" ht="15.75" hidden="1" customHeight="1">
      <c r="A44" s="6" t="str">
        <f>'SAP Results'!A44</f>
        <v>3</v>
      </c>
      <c r="B44" s="5">
        <f>'SAP Results'!B44</f>
        <v>0</v>
      </c>
      <c r="C44" s="5" t="str">
        <f>'SAP Results'!C44</f>
        <v>Q-2</v>
      </c>
      <c r="D44" s="5" t="str">
        <f>'SAP Results'!D44</f>
        <v>LinStatic</v>
      </c>
      <c r="E44" s="5">
        <f>'SAP Results'!E44</f>
        <v>-77.08</v>
      </c>
      <c r="F44" s="5">
        <f>'SAP Results'!F44</f>
        <v>16.934000000000001</v>
      </c>
      <c r="G44" s="5">
        <f>'SAP Results'!G44</f>
        <v>0</v>
      </c>
      <c r="H44" s="5">
        <f>'SAP Results'!H44</f>
        <v>0</v>
      </c>
      <c r="I44" s="5">
        <f>'SAP Results'!I44</f>
        <v>0</v>
      </c>
      <c r="J44" s="5">
        <f>'SAP Results'!J44</f>
        <v>25.051600000000001</v>
      </c>
      <c r="K44" s="5" t="str">
        <f>'SAP Results'!K44</f>
        <v>3-1</v>
      </c>
      <c r="L44" s="5">
        <f>'SAP Results'!L44</f>
        <v>0</v>
      </c>
    </row>
    <row r="45" spans="1:12" ht="15.75" hidden="1" customHeight="1">
      <c r="A45" s="6" t="str">
        <f>'SAP Results'!A45</f>
        <v>3</v>
      </c>
      <c r="B45" s="5">
        <f>'SAP Results'!B45</f>
        <v>2.6</v>
      </c>
      <c r="C45" s="5" t="str">
        <f>'SAP Results'!C45</f>
        <v>Q-2</v>
      </c>
      <c r="D45" s="5" t="str">
        <f>'SAP Results'!D45</f>
        <v>LinStatic</v>
      </c>
      <c r="E45" s="5">
        <f>'SAP Results'!E45</f>
        <v>-77.08</v>
      </c>
      <c r="F45" s="5">
        <f>'SAP Results'!F45</f>
        <v>16.934000000000001</v>
      </c>
      <c r="G45" s="5">
        <f>'SAP Results'!G45</f>
        <v>0</v>
      </c>
      <c r="H45" s="5">
        <f>'SAP Results'!H45</f>
        <v>0</v>
      </c>
      <c r="I45" s="5">
        <f>'SAP Results'!I45</f>
        <v>0</v>
      </c>
      <c r="J45" s="5">
        <f>'SAP Results'!J45</f>
        <v>-18.976500000000001</v>
      </c>
      <c r="K45" s="5" t="str">
        <f>'SAP Results'!K45</f>
        <v>3-1</v>
      </c>
      <c r="L45" s="5">
        <f>'SAP Results'!L45</f>
        <v>2.6</v>
      </c>
    </row>
    <row r="46" spans="1:12" ht="15.75" hidden="1" customHeight="1">
      <c r="A46" s="6" t="str">
        <f>'SAP Results'!A46</f>
        <v>3</v>
      </c>
      <c r="B46" s="5">
        <f>'SAP Results'!B46</f>
        <v>5.2</v>
      </c>
      <c r="C46" s="5" t="str">
        <f>'SAP Results'!C46</f>
        <v>Q-2</v>
      </c>
      <c r="D46" s="5" t="str">
        <f>'SAP Results'!D46</f>
        <v>LinStatic</v>
      </c>
      <c r="E46" s="5">
        <f>'SAP Results'!E46</f>
        <v>-77.08</v>
      </c>
      <c r="F46" s="5">
        <f>'SAP Results'!F46</f>
        <v>16.934000000000001</v>
      </c>
      <c r="G46" s="5">
        <f>'SAP Results'!G46</f>
        <v>0</v>
      </c>
      <c r="H46" s="5">
        <f>'SAP Results'!H46</f>
        <v>0</v>
      </c>
      <c r="I46" s="5">
        <f>'SAP Results'!I46</f>
        <v>0</v>
      </c>
      <c r="J46" s="5">
        <f>'SAP Results'!J46</f>
        <v>-63.004600000000003</v>
      </c>
      <c r="K46" s="5" t="str">
        <f>'SAP Results'!K46</f>
        <v>3-1</v>
      </c>
      <c r="L46" s="5">
        <f>'SAP Results'!L46</f>
        <v>5.2</v>
      </c>
    </row>
    <row r="47" spans="1:12" ht="15.75" hidden="1" customHeight="1">
      <c r="A47" s="6" t="str">
        <f>'SAP Results'!A47</f>
        <v>4</v>
      </c>
      <c r="B47" s="5">
        <f>'SAP Results'!B47</f>
        <v>0</v>
      </c>
      <c r="C47" s="5" t="str">
        <f>'SAP Results'!C47</f>
        <v>EX</v>
      </c>
      <c r="D47" s="5" t="str">
        <f>'SAP Results'!D47</f>
        <v>LinStatic</v>
      </c>
      <c r="E47" s="5">
        <f>'SAP Results'!E47</f>
        <v>0</v>
      </c>
      <c r="F47" s="5">
        <f>'SAP Results'!F47</f>
        <v>18.693999999999999</v>
      </c>
      <c r="G47" s="5">
        <f>'SAP Results'!G47</f>
        <v>0</v>
      </c>
      <c r="H47" s="5">
        <f>'SAP Results'!H47</f>
        <v>0</v>
      </c>
      <c r="I47" s="5">
        <f>'SAP Results'!I47</f>
        <v>0</v>
      </c>
      <c r="J47" s="5">
        <f>'SAP Results'!J47</f>
        <v>85.904799999999994</v>
      </c>
      <c r="K47" s="5" t="str">
        <f>'SAP Results'!K47</f>
        <v>4-1</v>
      </c>
      <c r="L47" s="5">
        <f>'SAP Results'!L47</f>
        <v>0</v>
      </c>
    </row>
    <row r="48" spans="1:12" ht="15.75" hidden="1" customHeight="1">
      <c r="A48" s="6" t="str">
        <f>'SAP Results'!A48</f>
        <v>4</v>
      </c>
      <c r="B48" s="5">
        <f>'SAP Results'!B48</f>
        <v>1.0062500000000001</v>
      </c>
      <c r="C48" s="5" t="str">
        <f>'SAP Results'!C48</f>
        <v>EX</v>
      </c>
      <c r="D48" s="5" t="str">
        <f>'SAP Results'!D48</f>
        <v>LinStatic</v>
      </c>
      <c r="E48" s="5">
        <f>'SAP Results'!E48</f>
        <v>0</v>
      </c>
      <c r="F48" s="5">
        <f>'SAP Results'!F48</f>
        <v>18.693999999999999</v>
      </c>
      <c r="G48" s="5">
        <f>'SAP Results'!G48</f>
        <v>0</v>
      </c>
      <c r="H48" s="5">
        <f>'SAP Results'!H48</f>
        <v>0</v>
      </c>
      <c r="I48" s="5">
        <f>'SAP Results'!I48</f>
        <v>0</v>
      </c>
      <c r="J48" s="5">
        <f>'SAP Results'!J48</f>
        <v>67.094200000000001</v>
      </c>
      <c r="K48" s="5" t="str">
        <f>'SAP Results'!K48</f>
        <v>4-1</v>
      </c>
      <c r="L48" s="5">
        <f>'SAP Results'!L48</f>
        <v>1.0062500000000001</v>
      </c>
    </row>
    <row r="49" spans="1:12" ht="15.75" hidden="1" customHeight="1">
      <c r="A49" s="6" t="str">
        <f>'SAP Results'!A49</f>
        <v>4</v>
      </c>
      <c r="B49" s="5">
        <f>'SAP Results'!B49</f>
        <v>2.0125000000000002</v>
      </c>
      <c r="C49" s="5" t="str">
        <f>'SAP Results'!C49</f>
        <v>EX</v>
      </c>
      <c r="D49" s="5" t="str">
        <f>'SAP Results'!D49</f>
        <v>LinStatic</v>
      </c>
      <c r="E49" s="5">
        <f>'SAP Results'!E49</f>
        <v>0</v>
      </c>
      <c r="F49" s="5">
        <f>'SAP Results'!F49</f>
        <v>18.693999999999999</v>
      </c>
      <c r="G49" s="5">
        <f>'SAP Results'!G49</f>
        <v>0</v>
      </c>
      <c r="H49" s="5">
        <f>'SAP Results'!H49</f>
        <v>0</v>
      </c>
      <c r="I49" s="5">
        <f>'SAP Results'!I49</f>
        <v>0</v>
      </c>
      <c r="J49" s="5">
        <f>'SAP Results'!J49</f>
        <v>48.283700000000003</v>
      </c>
      <c r="K49" s="5" t="str">
        <f>'SAP Results'!K49</f>
        <v>4-1</v>
      </c>
      <c r="L49" s="5">
        <f>'SAP Results'!L49</f>
        <v>2.0125000000000002</v>
      </c>
    </row>
    <row r="50" spans="1:12" ht="15.75" hidden="1" customHeight="1">
      <c r="A50" s="6" t="str">
        <f>'SAP Results'!A50</f>
        <v>4</v>
      </c>
      <c r="B50" s="5">
        <f>'SAP Results'!B50</f>
        <v>3.0187499999999998</v>
      </c>
      <c r="C50" s="5" t="str">
        <f>'SAP Results'!C50</f>
        <v>EX</v>
      </c>
      <c r="D50" s="5" t="str">
        <f>'SAP Results'!D50</f>
        <v>LinStatic</v>
      </c>
      <c r="E50" s="5">
        <f>'SAP Results'!E50</f>
        <v>0</v>
      </c>
      <c r="F50" s="5">
        <f>'SAP Results'!F50</f>
        <v>18.693999999999999</v>
      </c>
      <c r="G50" s="5">
        <f>'SAP Results'!G50</f>
        <v>0</v>
      </c>
      <c r="H50" s="5">
        <f>'SAP Results'!H50</f>
        <v>0</v>
      </c>
      <c r="I50" s="5">
        <f>'SAP Results'!I50</f>
        <v>0</v>
      </c>
      <c r="J50" s="5">
        <f>'SAP Results'!J50</f>
        <v>29.473199999999999</v>
      </c>
      <c r="K50" s="5" t="str">
        <f>'SAP Results'!K50</f>
        <v>4-1</v>
      </c>
      <c r="L50" s="5">
        <f>'SAP Results'!L50</f>
        <v>3.0187499999999998</v>
      </c>
    </row>
    <row r="51" spans="1:12" ht="15.75" hidden="1" customHeight="1">
      <c r="A51" s="6" t="str">
        <f>'SAP Results'!A51</f>
        <v>4</v>
      </c>
      <c r="B51" s="5">
        <f>'SAP Results'!B51</f>
        <v>4.0250000000000004</v>
      </c>
      <c r="C51" s="5" t="str">
        <f>'SAP Results'!C51</f>
        <v>EX</v>
      </c>
      <c r="D51" s="5" t="str">
        <f>'SAP Results'!D51</f>
        <v>LinStatic</v>
      </c>
      <c r="E51" s="5">
        <f>'SAP Results'!E51</f>
        <v>0</v>
      </c>
      <c r="F51" s="5">
        <f>'SAP Results'!F51</f>
        <v>18.693999999999999</v>
      </c>
      <c r="G51" s="5">
        <f>'SAP Results'!G51</f>
        <v>0</v>
      </c>
      <c r="H51" s="5">
        <f>'SAP Results'!H51</f>
        <v>0</v>
      </c>
      <c r="I51" s="5">
        <f>'SAP Results'!I51</f>
        <v>0</v>
      </c>
      <c r="J51" s="5">
        <f>'SAP Results'!J51</f>
        <v>10.662599999999999</v>
      </c>
      <c r="K51" s="5" t="str">
        <f>'SAP Results'!K51</f>
        <v>4-1</v>
      </c>
      <c r="L51" s="5">
        <f>'SAP Results'!L51</f>
        <v>4.0250000000000004</v>
      </c>
    </row>
    <row r="52" spans="1:12" ht="15.75" hidden="1" customHeight="1">
      <c r="A52" s="6" t="str">
        <f>'SAP Results'!A52</f>
        <v>4</v>
      </c>
      <c r="B52" s="5">
        <f>'SAP Results'!B52</f>
        <v>5.03125</v>
      </c>
      <c r="C52" s="5" t="str">
        <f>'SAP Results'!C52</f>
        <v>EX</v>
      </c>
      <c r="D52" s="5" t="str">
        <f>'SAP Results'!D52</f>
        <v>LinStatic</v>
      </c>
      <c r="E52" s="5">
        <f>'SAP Results'!E52</f>
        <v>0</v>
      </c>
      <c r="F52" s="5">
        <f>'SAP Results'!F52</f>
        <v>18.693999999999999</v>
      </c>
      <c r="G52" s="5">
        <f>'SAP Results'!G52</f>
        <v>0</v>
      </c>
      <c r="H52" s="5">
        <f>'SAP Results'!H52</f>
        <v>0</v>
      </c>
      <c r="I52" s="5">
        <f>'SAP Results'!I52</f>
        <v>0</v>
      </c>
      <c r="J52" s="5">
        <f>'SAP Results'!J52</f>
        <v>-8.1478999999999999</v>
      </c>
      <c r="K52" s="5" t="str">
        <f>'SAP Results'!K52</f>
        <v>4-1</v>
      </c>
      <c r="L52" s="5">
        <f>'SAP Results'!L52</f>
        <v>5.03125</v>
      </c>
    </row>
    <row r="53" spans="1:12" ht="15.75" hidden="1" customHeight="1">
      <c r="A53" s="6" t="str">
        <f>'SAP Results'!A53</f>
        <v>4</v>
      </c>
      <c r="B53" s="5">
        <f>'SAP Results'!B53</f>
        <v>6.0374999999999996</v>
      </c>
      <c r="C53" s="5" t="str">
        <f>'SAP Results'!C53</f>
        <v>EX</v>
      </c>
      <c r="D53" s="5" t="str">
        <f>'SAP Results'!D53</f>
        <v>LinStatic</v>
      </c>
      <c r="E53" s="5">
        <f>'SAP Results'!E53</f>
        <v>0</v>
      </c>
      <c r="F53" s="5">
        <f>'SAP Results'!F53</f>
        <v>18.693999999999999</v>
      </c>
      <c r="G53" s="5">
        <f>'SAP Results'!G53</f>
        <v>0</v>
      </c>
      <c r="H53" s="5">
        <f>'SAP Results'!H53</f>
        <v>0</v>
      </c>
      <c r="I53" s="5">
        <f>'SAP Results'!I53</f>
        <v>0</v>
      </c>
      <c r="J53" s="5">
        <f>'SAP Results'!J53</f>
        <v>-26.958400000000001</v>
      </c>
      <c r="K53" s="5" t="str">
        <f>'SAP Results'!K53</f>
        <v>4-1</v>
      </c>
      <c r="L53" s="5">
        <f>'SAP Results'!L53</f>
        <v>6.0374999999999996</v>
      </c>
    </row>
    <row r="54" spans="1:12" ht="15.75" hidden="1" customHeight="1">
      <c r="A54" s="6" t="str">
        <f>'SAP Results'!A54</f>
        <v>4</v>
      </c>
      <c r="B54" s="5">
        <f>'SAP Results'!B54</f>
        <v>7.0437500000000002</v>
      </c>
      <c r="C54" s="5" t="str">
        <f>'SAP Results'!C54</f>
        <v>EX</v>
      </c>
      <c r="D54" s="5" t="str">
        <f>'SAP Results'!D54</f>
        <v>LinStatic</v>
      </c>
      <c r="E54" s="5">
        <f>'SAP Results'!E54</f>
        <v>0</v>
      </c>
      <c r="F54" s="5">
        <f>'SAP Results'!F54</f>
        <v>18.693999999999999</v>
      </c>
      <c r="G54" s="5">
        <f>'SAP Results'!G54</f>
        <v>0</v>
      </c>
      <c r="H54" s="5">
        <f>'SAP Results'!H54</f>
        <v>0</v>
      </c>
      <c r="I54" s="5">
        <f>'SAP Results'!I54</f>
        <v>0</v>
      </c>
      <c r="J54" s="5">
        <f>'SAP Results'!J54</f>
        <v>-45.768900000000002</v>
      </c>
      <c r="K54" s="5" t="str">
        <f>'SAP Results'!K54</f>
        <v>4-1</v>
      </c>
      <c r="L54" s="5">
        <f>'SAP Results'!L54</f>
        <v>7.0437500000000002</v>
      </c>
    </row>
    <row r="55" spans="1:12" ht="15.75" hidden="1" customHeight="1">
      <c r="A55" s="6" t="str">
        <f>'SAP Results'!A55</f>
        <v>4</v>
      </c>
      <c r="B55" s="5">
        <f>'SAP Results'!B55</f>
        <v>8.0500000000000007</v>
      </c>
      <c r="C55" s="5" t="str">
        <f>'SAP Results'!C55</f>
        <v>EX</v>
      </c>
      <c r="D55" s="5" t="str">
        <f>'SAP Results'!D55</f>
        <v>LinStatic</v>
      </c>
      <c r="E55" s="5">
        <f>'SAP Results'!E55</f>
        <v>0</v>
      </c>
      <c r="F55" s="5">
        <f>'SAP Results'!F55</f>
        <v>18.693999999999999</v>
      </c>
      <c r="G55" s="5">
        <f>'SAP Results'!G55</f>
        <v>0</v>
      </c>
      <c r="H55" s="5">
        <f>'SAP Results'!H55</f>
        <v>0</v>
      </c>
      <c r="I55" s="5">
        <f>'SAP Results'!I55</f>
        <v>0</v>
      </c>
      <c r="J55" s="5">
        <f>'SAP Results'!J55</f>
        <v>-64.579499999999996</v>
      </c>
      <c r="K55" s="5" t="str">
        <f>'SAP Results'!K55</f>
        <v>4-1</v>
      </c>
      <c r="L55" s="5">
        <f>'SAP Results'!L55</f>
        <v>8.0500000000000007</v>
      </c>
    </row>
    <row r="56" spans="1:12" ht="15.75" hidden="1" customHeight="1">
      <c r="A56" s="6" t="str">
        <f>'SAP Results'!A56</f>
        <v>4</v>
      </c>
      <c r="B56" s="5">
        <f>'SAP Results'!B56</f>
        <v>0</v>
      </c>
      <c r="C56" s="5" t="str">
        <f>'SAP Results'!C56</f>
        <v>G-1</v>
      </c>
      <c r="D56" s="5" t="str">
        <f>'SAP Results'!D56</f>
        <v>LinStatic</v>
      </c>
      <c r="E56" s="5">
        <f>'SAP Results'!E56</f>
        <v>0</v>
      </c>
      <c r="F56" s="5">
        <f>'SAP Results'!F56</f>
        <v>-152.78200000000001</v>
      </c>
      <c r="G56" s="5">
        <f>'SAP Results'!G56</f>
        <v>0</v>
      </c>
      <c r="H56" s="5">
        <f>'SAP Results'!H56</f>
        <v>0</v>
      </c>
      <c r="I56" s="5">
        <f>'SAP Results'!I56</f>
        <v>0</v>
      </c>
      <c r="J56" s="5">
        <f>'SAP Results'!J56</f>
        <v>-124.8822</v>
      </c>
      <c r="K56" s="5" t="str">
        <f>'SAP Results'!K56</f>
        <v>4-1</v>
      </c>
      <c r="L56" s="5">
        <f>'SAP Results'!L56</f>
        <v>0</v>
      </c>
    </row>
    <row r="57" spans="1:12" ht="15.75" hidden="1" customHeight="1">
      <c r="A57" s="6" t="str">
        <f>'SAP Results'!A57</f>
        <v>4</v>
      </c>
      <c r="B57" s="5">
        <f>'SAP Results'!B57</f>
        <v>1.0062500000000001</v>
      </c>
      <c r="C57" s="5" t="str">
        <f>'SAP Results'!C57</f>
        <v>G-1</v>
      </c>
      <c r="D57" s="5" t="str">
        <f>'SAP Results'!D57</f>
        <v>LinStatic</v>
      </c>
      <c r="E57" s="5">
        <f>'SAP Results'!E57</f>
        <v>0</v>
      </c>
      <c r="F57" s="5">
        <f>'SAP Results'!F57</f>
        <v>-112.642</v>
      </c>
      <c r="G57" s="5">
        <f>'SAP Results'!G57</f>
        <v>0</v>
      </c>
      <c r="H57" s="5">
        <f>'SAP Results'!H57</f>
        <v>0</v>
      </c>
      <c r="I57" s="5">
        <f>'SAP Results'!I57</f>
        <v>0</v>
      </c>
      <c r="J57" s="5">
        <f>'SAP Results'!J57</f>
        <v>8.6593</v>
      </c>
      <c r="K57" s="5" t="str">
        <f>'SAP Results'!K57</f>
        <v>4-1</v>
      </c>
      <c r="L57" s="5">
        <f>'SAP Results'!L57</f>
        <v>1.0062500000000001</v>
      </c>
    </row>
    <row r="58" spans="1:12" ht="15.75" hidden="1" customHeight="1">
      <c r="A58" s="6" t="str">
        <f>'SAP Results'!A58</f>
        <v>4</v>
      </c>
      <c r="B58" s="5">
        <f>'SAP Results'!B58</f>
        <v>2.0125000000000002</v>
      </c>
      <c r="C58" s="5" t="str">
        <f>'SAP Results'!C58</f>
        <v>G-1</v>
      </c>
      <c r="D58" s="5" t="str">
        <f>'SAP Results'!D58</f>
        <v>LinStatic</v>
      </c>
      <c r="E58" s="5">
        <f>'SAP Results'!E58</f>
        <v>0</v>
      </c>
      <c r="F58" s="5">
        <f>'SAP Results'!F58</f>
        <v>-72.503</v>
      </c>
      <c r="G58" s="5">
        <f>'SAP Results'!G58</f>
        <v>0</v>
      </c>
      <c r="H58" s="5">
        <f>'SAP Results'!H58</f>
        <v>0</v>
      </c>
      <c r="I58" s="5">
        <f>'SAP Results'!I58</f>
        <v>0</v>
      </c>
      <c r="J58" s="5">
        <f>'SAP Results'!J58</f>
        <v>101.81059999999999</v>
      </c>
      <c r="K58" s="5" t="str">
        <f>'SAP Results'!K58</f>
        <v>4-1</v>
      </c>
      <c r="L58" s="5">
        <f>'SAP Results'!L58</f>
        <v>2.0125000000000002</v>
      </c>
    </row>
    <row r="59" spans="1:12" ht="15.75" hidden="1" customHeight="1">
      <c r="A59" s="6" t="str">
        <f>'SAP Results'!A59</f>
        <v>4</v>
      </c>
      <c r="B59" s="5">
        <f>'SAP Results'!B59</f>
        <v>3.0187499999999998</v>
      </c>
      <c r="C59" s="5" t="str">
        <f>'SAP Results'!C59</f>
        <v>G-1</v>
      </c>
      <c r="D59" s="5" t="str">
        <f>'SAP Results'!D59</f>
        <v>LinStatic</v>
      </c>
      <c r="E59" s="5">
        <f>'SAP Results'!E59</f>
        <v>0</v>
      </c>
      <c r="F59" s="5">
        <f>'SAP Results'!F59</f>
        <v>-32.363999999999997</v>
      </c>
      <c r="G59" s="5">
        <f>'SAP Results'!G59</f>
        <v>0</v>
      </c>
      <c r="H59" s="5">
        <f>'SAP Results'!H59</f>
        <v>0</v>
      </c>
      <c r="I59" s="5">
        <f>'SAP Results'!I59</f>
        <v>0</v>
      </c>
      <c r="J59" s="5">
        <f>'SAP Results'!J59</f>
        <v>154.5718</v>
      </c>
      <c r="K59" s="5" t="str">
        <f>'SAP Results'!K59</f>
        <v>4-1</v>
      </c>
      <c r="L59" s="5">
        <f>'SAP Results'!L59</f>
        <v>3.0187499999999998</v>
      </c>
    </row>
    <row r="60" spans="1:12" ht="15.75" hidden="1" customHeight="1">
      <c r="A60" s="6" t="str">
        <f>'SAP Results'!A60</f>
        <v>4</v>
      </c>
      <c r="B60" s="5">
        <f>'SAP Results'!B60</f>
        <v>4.0250000000000004</v>
      </c>
      <c r="C60" s="5" t="str">
        <f>'SAP Results'!C60</f>
        <v>G-1</v>
      </c>
      <c r="D60" s="5" t="str">
        <f>'SAP Results'!D60</f>
        <v>LinStatic</v>
      </c>
      <c r="E60" s="5">
        <f>'SAP Results'!E60</f>
        <v>0</v>
      </c>
      <c r="F60" s="5">
        <f>'SAP Results'!F60</f>
        <v>7.7759999999999998</v>
      </c>
      <c r="G60" s="5">
        <f>'SAP Results'!G60</f>
        <v>0</v>
      </c>
      <c r="H60" s="5">
        <f>'SAP Results'!H60</f>
        <v>0</v>
      </c>
      <c r="I60" s="5">
        <f>'SAP Results'!I60</f>
        <v>0</v>
      </c>
      <c r="J60" s="5">
        <f>'SAP Results'!J60</f>
        <v>166.9427</v>
      </c>
      <c r="K60" s="5" t="str">
        <f>'SAP Results'!K60</f>
        <v>4-1</v>
      </c>
      <c r="L60" s="5">
        <f>'SAP Results'!L60</f>
        <v>4.0250000000000004</v>
      </c>
    </row>
    <row r="61" spans="1:12" ht="15.75" hidden="1" customHeight="1">
      <c r="A61" s="6" t="str">
        <f>'SAP Results'!A61</f>
        <v>4</v>
      </c>
      <c r="B61" s="5">
        <f>'SAP Results'!B61</f>
        <v>5.03125</v>
      </c>
      <c r="C61" s="5" t="str">
        <f>'SAP Results'!C61</f>
        <v>G-1</v>
      </c>
      <c r="D61" s="5" t="str">
        <f>'SAP Results'!D61</f>
        <v>LinStatic</v>
      </c>
      <c r="E61" s="5">
        <f>'SAP Results'!E61</f>
        <v>0</v>
      </c>
      <c r="F61" s="5">
        <f>'SAP Results'!F61</f>
        <v>47.914999999999999</v>
      </c>
      <c r="G61" s="5">
        <f>'SAP Results'!G61</f>
        <v>0</v>
      </c>
      <c r="H61" s="5">
        <f>'SAP Results'!H61</f>
        <v>0</v>
      </c>
      <c r="I61" s="5">
        <f>'SAP Results'!I61</f>
        <v>0</v>
      </c>
      <c r="J61" s="5">
        <f>'SAP Results'!J61</f>
        <v>138.92349999999999</v>
      </c>
      <c r="K61" s="5" t="str">
        <f>'SAP Results'!K61</f>
        <v>4-1</v>
      </c>
      <c r="L61" s="5">
        <f>'SAP Results'!L61</f>
        <v>5.03125</v>
      </c>
    </row>
    <row r="62" spans="1:12" ht="15.75" hidden="1" customHeight="1">
      <c r="A62" s="6" t="str">
        <f>'SAP Results'!A62</f>
        <v>4</v>
      </c>
      <c r="B62" s="5">
        <f>'SAP Results'!B62</f>
        <v>6.0374999999999996</v>
      </c>
      <c r="C62" s="5" t="str">
        <f>'SAP Results'!C62</f>
        <v>G-1</v>
      </c>
      <c r="D62" s="5" t="str">
        <f>'SAP Results'!D62</f>
        <v>LinStatic</v>
      </c>
      <c r="E62" s="5">
        <f>'SAP Results'!E62</f>
        <v>0</v>
      </c>
      <c r="F62" s="5">
        <f>'SAP Results'!F62</f>
        <v>88.054000000000002</v>
      </c>
      <c r="G62" s="5">
        <f>'SAP Results'!G62</f>
        <v>0</v>
      </c>
      <c r="H62" s="5">
        <f>'SAP Results'!H62</f>
        <v>0</v>
      </c>
      <c r="I62" s="5">
        <f>'SAP Results'!I62</f>
        <v>0</v>
      </c>
      <c r="J62" s="5">
        <f>'SAP Results'!J62</f>
        <v>70.514099999999999</v>
      </c>
      <c r="K62" s="5" t="str">
        <f>'SAP Results'!K62</f>
        <v>4-1</v>
      </c>
      <c r="L62" s="5">
        <f>'SAP Results'!L62</f>
        <v>6.0374999999999996</v>
      </c>
    </row>
    <row r="63" spans="1:12" ht="15.75" hidden="1" customHeight="1">
      <c r="A63" s="6" t="str">
        <f>'SAP Results'!A63</f>
        <v>4</v>
      </c>
      <c r="B63" s="5">
        <f>'SAP Results'!B63</f>
        <v>7.0437500000000002</v>
      </c>
      <c r="C63" s="5" t="str">
        <f>'SAP Results'!C63</f>
        <v>G-1</v>
      </c>
      <c r="D63" s="5" t="str">
        <f>'SAP Results'!D63</f>
        <v>LinStatic</v>
      </c>
      <c r="E63" s="5">
        <f>'SAP Results'!E63</f>
        <v>0</v>
      </c>
      <c r="F63" s="5">
        <f>'SAP Results'!F63</f>
        <v>128.19300000000001</v>
      </c>
      <c r="G63" s="5">
        <f>'SAP Results'!G63</f>
        <v>0</v>
      </c>
      <c r="H63" s="5">
        <f>'SAP Results'!H63</f>
        <v>0</v>
      </c>
      <c r="I63" s="5">
        <f>'SAP Results'!I63</f>
        <v>0</v>
      </c>
      <c r="J63" s="5">
        <f>'SAP Results'!J63</f>
        <v>-38.285499999999999</v>
      </c>
      <c r="K63" s="5" t="str">
        <f>'SAP Results'!K63</f>
        <v>4-1</v>
      </c>
      <c r="L63" s="5">
        <f>'SAP Results'!L63</f>
        <v>7.0437500000000002</v>
      </c>
    </row>
    <row r="64" spans="1:12" ht="15.75" hidden="1" customHeight="1">
      <c r="A64" s="6" t="str">
        <f>'SAP Results'!A64</f>
        <v>4</v>
      </c>
      <c r="B64" s="5">
        <f>'SAP Results'!B64</f>
        <v>8.0500000000000007</v>
      </c>
      <c r="C64" s="5" t="str">
        <f>'SAP Results'!C64</f>
        <v>G-1</v>
      </c>
      <c r="D64" s="5" t="str">
        <f>'SAP Results'!D64</f>
        <v>LinStatic</v>
      </c>
      <c r="E64" s="5">
        <f>'SAP Results'!E64</f>
        <v>0</v>
      </c>
      <c r="F64" s="5">
        <f>'SAP Results'!F64</f>
        <v>168.333</v>
      </c>
      <c r="G64" s="5">
        <f>'SAP Results'!G64</f>
        <v>0</v>
      </c>
      <c r="H64" s="5">
        <f>'SAP Results'!H64</f>
        <v>0</v>
      </c>
      <c r="I64" s="5">
        <f>'SAP Results'!I64</f>
        <v>0</v>
      </c>
      <c r="J64" s="5">
        <f>'SAP Results'!J64</f>
        <v>-187.4752</v>
      </c>
      <c r="K64" s="5" t="str">
        <f>'SAP Results'!K64</f>
        <v>4-1</v>
      </c>
      <c r="L64" s="5">
        <f>'SAP Results'!L64</f>
        <v>8.0500000000000007</v>
      </c>
    </row>
    <row r="65" spans="1:12" ht="15.75" customHeight="1">
      <c r="A65" s="6" t="str">
        <f>'SAP Results'!A65</f>
        <v>4</v>
      </c>
      <c r="B65" s="5">
        <f>'SAP Results'!B65</f>
        <v>0</v>
      </c>
      <c r="C65" s="5" t="str">
        <f>'SAP Results'!C65</f>
        <v>G-2</v>
      </c>
      <c r="D65" s="5" t="str">
        <f>'SAP Results'!D65</f>
        <v>LinStatic</v>
      </c>
      <c r="E65" s="5">
        <f>'SAP Results'!E65</f>
        <v>0</v>
      </c>
      <c r="F65" s="5">
        <f>'SAP Results'!F65</f>
        <v>10.212999999999999</v>
      </c>
      <c r="G65" s="5">
        <f>'SAP Results'!G65</f>
        <v>0</v>
      </c>
      <c r="H65" s="5">
        <f>'SAP Results'!H65</f>
        <v>0</v>
      </c>
      <c r="I65" s="5">
        <f>'SAP Results'!I65</f>
        <v>0</v>
      </c>
      <c r="J65" s="5">
        <f>'SAP Results'!J65</f>
        <v>10.154299999999999</v>
      </c>
      <c r="K65" s="5" t="str">
        <f>'SAP Results'!K65</f>
        <v>4-1</v>
      </c>
      <c r="L65" s="5">
        <f>'SAP Results'!L65</f>
        <v>0</v>
      </c>
    </row>
    <row r="66" spans="1:12" ht="15.75" customHeight="1">
      <c r="A66" s="6" t="str">
        <f>'SAP Results'!A66</f>
        <v>4</v>
      </c>
      <c r="B66" s="5">
        <f>'SAP Results'!B66</f>
        <v>1.0062500000000001</v>
      </c>
      <c r="C66" s="5" t="str">
        <f>'SAP Results'!C66</f>
        <v>G-2</v>
      </c>
      <c r="D66" s="5" t="str">
        <f>'SAP Results'!D66</f>
        <v>LinStatic</v>
      </c>
      <c r="E66" s="5">
        <f>'SAP Results'!E66</f>
        <v>0</v>
      </c>
      <c r="F66" s="5">
        <f>'SAP Results'!F66</f>
        <v>10.212999999999999</v>
      </c>
      <c r="G66" s="5">
        <f>'SAP Results'!G66</f>
        <v>0</v>
      </c>
      <c r="H66" s="5">
        <f>'SAP Results'!H66</f>
        <v>0</v>
      </c>
      <c r="I66" s="5">
        <f>'SAP Results'!I66</f>
        <v>0</v>
      </c>
      <c r="J66" s="5">
        <f>'SAP Results'!J66</f>
        <v>-0.1227</v>
      </c>
      <c r="K66" s="5" t="str">
        <f>'SAP Results'!K66</f>
        <v>4-1</v>
      </c>
      <c r="L66" s="5">
        <f>'SAP Results'!L66</f>
        <v>1.0062500000000001</v>
      </c>
    </row>
    <row r="67" spans="1:12" ht="15.75" customHeight="1">
      <c r="A67" s="6" t="str">
        <f>'SAP Results'!A67</f>
        <v>4</v>
      </c>
      <c r="B67" s="5">
        <f>'SAP Results'!B67</f>
        <v>2.0125000000000002</v>
      </c>
      <c r="C67" s="5" t="str">
        <f>'SAP Results'!C67</f>
        <v>G-2</v>
      </c>
      <c r="D67" s="5" t="str">
        <f>'SAP Results'!D67</f>
        <v>LinStatic</v>
      </c>
      <c r="E67" s="5">
        <f>'SAP Results'!E67</f>
        <v>0</v>
      </c>
      <c r="F67" s="5">
        <f>'SAP Results'!F67</f>
        <v>10.212999999999999</v>
      </c>
      <c r="G67" s="5">
        <f>'SAP Results'!G67</f>
        <v>0</v>
      </c>
      <c r="H67" s="5">
        <f>'SAP Results'!H67</f>
        <v>0</v>
      </c>
      <c r="I67" s="5">
        <f>'SAP Results'!I67</f>
        <v>0</v>
      </c>
      <c r="J67" s="5">
        <f>'SAP Results'!J67</f>
        <v>-10.399800000000001</v>
      </c>
      <c r="K67" s="5" t="str">
        <f>'SAP Results'!K67</f>
        <v>4-1</v>
      </c>
      <c r="L67" s="5">
        <f>'SAP Results'!L67</f>
        <v>2.0125000000000002</v>
      </c>
    </row>
    <row r="68" spans="1:12" ht="15.75" customHeight="1">
      <c r="A68" s="6" t="str">
        <f>'SAP Results'!A68</f>
        <v>4</v>
      </c>
      <c r="B68" s="5">
        <f>'SAP Results'!B68</f>
        <v>3.0187499999999998</v>
      </c>
      <c r="C68" s="5" t="str">
        <f>'SAP Results'!C68</f>
        <v>G-2</v>
      </c>
      <c r="D68" s="5" t="str">
        <f>'SAP Results'!D68</f>
        <v>LinStatic</v>
      </c>
      <c r="E68" s="5">
        <f>'SAP Results'!E68</f>
        <v>0</v>
      </c>
      <c r="F68" s="5">
        <f>'SAP Results'!F68</f>
        <v>10.212999999999999</v>
      </c>
      <c r="G68" s="5">
        <f>'SAP Results'!G68</f>
        <v>0</v>
      </c>
      <c r="H68" s="5">
        <f>'SAP Results'!H68</f>
        <v>0</v>
      </c>
      <c r="I68" s="5">
        <f>'SAP Results'!I68</f>
        <v>0</v>
      </c>
      <c r="J68" s="5">
        <f>'SAP Results'!J68</f>
        <v>-20.6768</v>
      </c>
      <c r="K68" s="5" t="str">
        <f>'SAP Results'!K68</f>
        <v>4-1</v>
      </c>
      <c r="L68" s="5">
        <f>'SAP Results'!L68</f>
        <v>3.0187499999999998</v>
      </c>
    </row>
    <row r="69" spans="1:12" ht="15.75" customHeight="1">
      <c r="A69" s="6" t="str">
        <f>'SAP Results'!A69</f>
        <v>4</v>
      </c>
      <c r="B69" s="5">
        <f>'SAP Results'!B69</f>
        <v>4.0250000000000004</v>
      </c>
      <c r="C69" s="5" t="str">
        <f>'SAP Results'!C69</f>
        <v>G-2</v>
      </c>
      <c r="D69" s="5" t="str">
        <f>'SAP Results'!D69</f>
        <v>LinStatic</v>
      </c>
      <c r="E69" s="5">
        <f>'SAP Results'!E69</f>
        <v>0</v>
      </c>
      <c r="F69" s="5">
        <f>'SAP Results'!F69</f>
        <v>10.212999999999999</v>
      </c>
      <c r="G69" s="5">
        <f>'SAP Results'!G69</f>
        <v>0</v>
      </c>
      <c r="H69" s="5">
        <f>'SAP Results'!H69</f>
        <v>0</v>
      </c>
      <c r="I69" s="5">
        <f>'SAP Results'!I69</f>
        <v>0</v>
      </c>
      <c r="J69" s="5">
        <f>'SAP Results'!J69</f>
        <v>-30.953800000000001</v>
      </c>
      <c r="K69" s="5" t="str">
        <f>'SAP Results'!K69</f>
        <v>4-1</v>
      </c>
      <c r="L69" s="5">
        <f>'SAP Results'!L69</f>
        <v>4.0250000000000004</v>
      </c>
    </row>
    <row r="70" spans="1:12" ht="15.75" customHeight="1">
      <c r="A70" s="6" t="str">
        <f>'SAP Results'!A70</f>
        <v>4</v>
      </c>
      <c r="B70" s="5">
        <f>'SAP Results'!B70</f>
        <v>5.03125</v>
      </c>
      <c r="C70" s="5" t="str">
        <f>'SAP Results'!C70</f>
        <v>G-2</v>
      </c>
      <c r="D70" s="5" t="str">
        <f>'SAP Results'!D70</f>
        <v>LinStatic</v>
      </c>
      <c r="E70" s="5">
        <f>'SAP Results'!E70</f>
        <v>0</v>
      </c>
      <c r="F70" s="5">
        <f>'SAP Results'!F70</f>
        <v>10.212999999999999</v>
      </c>
      <c r="G70" s="5">
        <f>'SAP Results'!G70</f>
        <v>0</v>
      </c>
      <c r="H70" s="5">
        <f>'SAP Results'!H70</f>
        <v>0</v>
      </c>
      <c r="I70" s="5">
        <f>'SAP Results'!I70</f>
        <v>0</v>
      </c>
      <c r="J70" s="5">
        <f>'SAP Results'!J70</f>
        <v>-41.230899999999998</v>
      </c>
      <c r="K70" s="5" t="str">
        <f>'SAP Results'!K70</f>
        <v>4-1</v>
      </c>
      <c r="L70" s="5">
        <f>'SAP Results'!L70</f>
        <v>5.03125</v>
      </c>
    </row>
    <row r="71" spans="1:12" ht="15.75" customHeight="1">
      <c r="A71" s="6" t="str">
        <f>'SAP Results'!A71</f>
        <v>4</v>
      </c>
      <c r="B71" s="5">
        <f>'SAP Results'!B71</f>
        <v>6.0374999999999996</v>
      </c>
      <c r="C71" s="5" t="str">
        <f>'SAP Results'!C71</f>
        <v>G-2</v>
      </c>
      <c r="D71" s="5" t="str">
        <f>'SAP Results'!D71</f>
        <v>LinStatic</v>
      </c>
      <c r="E71" s="5">
        <f>'SAP Results'!E71</f>
        <v>0</v>
      </c>
      <c r="F71" s="5">
        <f>'SAP Results'!F71</f>
        <v>10.212999999999999</v>
      </c>
      <c r="G71" s="5">
        <f>'SAP Results'!G71</f>
        <v>0</v>
      </c>
      <c r="H71" s="5">
        <f>'SAP Results'!H71</f>
        <v>0</v>
      </c>
      <c r="I71" s="5">
        <f>'SAP Results'!I71</f>
        <v>0</v>
      </c>
      <c r="J71" s="5">
        <f>'SAP Results'!J71</f>
        <v>-51.507899999999999</v>
      </c>
      <c r="K71" s="5" t="str">
        <f>'SAP Results'!K71</f>
        <v>4-1</v>
      </c>
      <c r="L71" s="5">
        <f>'SAP Results'!L71</f>
        <v>6.0374999999999996</v>
      </c>
    </row>
    <row r="72" spans="1:12" ht="15.75" customHeight="1">
      <c r="A72" s="6" t="str">
        <f>'SAP Results'!A72</f>
        <v>4</v>
      </c>
      <c r="B72" s="5">
        <f>'SAP Results'!B72</f>
        <v>7.0437500000000002</v>
      </c>
      <c r="C72" s="5" t="str">
        <f>'SAP Results'!C72</f>
        <v>G-2</v>
      </c>
      <c r="D72" s="5" t="str">
        <f>'SAP Results'!D72</f>
        <v>LinStatic</v>
      </c>
      <c r="E72" s="5">
        <f>'SAP Results'!E72</f>
        <v>0</v>
      </c>
      <c r="F72" s="5">
        <f>'SAP Results'!F72</f>
        <v>10.212999999999999</v>
      </c>
      <c r="G72" s="5">
        <f>'SAP Results'!G72</f>
        <v>0</v>
      </c>
      <c r="H72" s="5">
        <f>'SAP Results'!H72</f>
        <v>0</v>
      </c>
      <c r="I72" s="5">
        <f>'SAP Results'!I72</f>
        <v>0</v>
      </c>
      <c r="J72" s="5">
        <f>'SAP Results'!J72</f>
        <v>-61.784999999999997</v>
      </c>
      <c r="K72" s="5" t="str">
        <f>'SAP Results'!K72</f>
        <v>4-1</v>
      </c>
      <c r="L72" s="5">
        <f>'SAP Results'!L72</f>
        <v>7.0437500000000002</v>
      </c>
    </row>
    <row r="73" spans="1:12" ht="15.75" customHeight="1">
      <c r="A73" s="6" t="str">
        <f>'SAP Results'!A73</f>
        <v>4</v>
      </c>
      <c r="B73" s="5">
        <f>'SAP Results'!B73</f>
        <v>8.0500000000000007</v>
      </c>
      <c r="C73" s="5" t="str">
        <f>'SAP Results'!C73</f>
        <v>G-2</v>
      </c>
      <c r="D73" s="5" t="str">
        <f>'SAP Results'!D73</f>
        <v>LinStatic</v>
      </c>
      <c r="E73" s="5">
        <f>'SAP Results'!E73</f>
        <v>0</v>
      </c>
      <c r="F73" s="5">
        <f>'SAP Results'!F73</f>
        <v>10.212999999999999</v>
      </c>
      <c r="G73" s="5">
        <f>'SAP Results'!G73</f>
        <v>0</v>
      </c>
      <c r="H73" s="5">
        <f>'SAP Results'!H73</f>
        <v>0</v>
      </c>
      <c r="I73" s="5">
        <f>'SAP Results'!I73</f>
        <v>0</v>
      </c>
      <c r="J73" s="5">
        <f>'SAP Results'!J73</f>
        <v>-72.061999999999998</v>
      </c>
      <c r="K73" s="5" t="str">
        <f>'SAP Results'!K73</f>
        <v>4-1</v>
      </c>
      <c r="L73" s="5">
        <f>'SAP Results'!L73</f>
        <v>8.0500000000000007</v>
      </c>
    </row>
    <row r="74" spans="1:12" ht="15.75" hidden="1" customHeight="1">
      <c r="A74" s="6" t="str">
        <f>'SAP Results'!A74</f>
        <v>4</v>
      </c>
      <c r="B74" s="5">
        <f>'SAP Results'!B74</f>
        <v>0</v>
      </c>
      <c r="C74" s="5" t="str">
        <f>'SAP Results'!C74</f>
        <v>Q-1</v>
      </c>
      <c r="D74" s="5" t="str">
        <f>'SAP Results'!D74</f>
        <v>LinStatic</v>
      </c>
      <c r="E74" s="5">
        <f>'SAP Results'!E74</f>
        <v>0</v>
      </c>
      <c r="F74" s="5">
        <f>'SAP Results'!F74</f>
        <v>-77.08</v>
      </c>
      <c r="G74" s="5">
        <f>'SAP Results'!G74</f>
        <v>0</v>
      </c>
      <c r="H74" s="5">
        <f>'SAP Results'!H74</f>
        <v>0</v>
      </c>
      <c r="I74" s="5">
        <f>'SAP Results'!I74</f>
        <v>0</v>
      </c>
      <c r="J74" s="5">
        <f>'SAP Results'!J74</f>
        <v>-63.004600000000003</v>
      </c>
      <c r="K74" s="5" t="str">
        <f>'SAP Results'!K74</f>
        <v>4-1</v>
      </c>
      <c r="L74" s="5">
        <f>'SAP Results'!L74</f>
        <v>0</v>
      </c>
    </row>
    <row r="75" spans="1:12" ht="15.75" hidden="1" customHeight="1">
      <c r="A75" s="6" t="str">
        <f>'SAP Results'!A75</f>
        <v>4</v>
      </c>
      <c r="B75" s="5">
        <f>'SAP Results'!B75</f>
        <v>1.0062500000000001</v>
      </c>
      <c r="C75" s="5" t="str">
        <f>'SAP Results'!C75</f>
        <v>Q-1</v>
      </c>
      <c r="D75" s="5" t="str">
        <f>'SAP Results'!D75</f>
        <v>LinStatic</v>
      </c>
      <c r="E75" s="5">
        <f>'SAP Results'!E75</f>
        <v>0</v>
      </c>
      <c r="F75" s="5">
        <f>'SAP Results'!F75</f>
        <v>-56.829000000000001</v>
      </c>
      <c r="G75" s="5">
        <f>'SAP Results'!G75</f>
        <v>0</v>
      </c>
      <c r="H75" s="5">
        <f>'SAP Results'!H75</f>
        <v>0</v>
      </c>
      <c r="I75" s="5">
        <f>'SAP Results'!I75</f>
        <v>0</v>
      </c>
      <c r="J75" s="5">
        <f>'SAP Results'!J75</f>
        <v>4.3686999999999996</v>
      </c>
      <c r="K75" s="5" t="str">
        <f>'SAP Results'!K75</f>
        <v>4-1</v>
      </c>
      <c r="L75" s="5">
        <f>'SAP Results'!L75</f>
        <v>1.0062500000000001</v>
      </c>
    </row>
    <row r="76" spans="1:12" ht="15.75" hidden="1" customHeight="1">
      <c r="A76" s="6" t="str">
        <f>'SAP Results'!A76</f>
        <v>4</v>
      </c>
      <c r="B76" s="5">
        <f>'SAP Results'!B76</f>
        <v>2.0125000000000002</v>
      </c>
      <c r="C76" s="5" t="str">
        <f>'SAP Results'!C76</f>
        <v>Q-1</v>
      </c>
      <c r="D76" s="5" t="str">
        <f>'SAP Results'!D76</f>
        <v>LinStatic</v>
      </c>
      <c r="E76" s="5">
        <f>'SAP Results'!E76</f>
        <v>0</v>
      </c>
      <c r="F76" s="5">
        <f>'SAP Results'!F76</f>
        <v>-36.579000000000001</v>
      </c>
      <c r="G76" s="5">
        <f>'SAP Results'!G76</f>
        <v>0</v>
      </c>
      <c r="H76" s="5">
        <f>'SAP Results'!H76</f>
        <v>0</v>
      </c>
      <c r="I76" s="5">
        <f>'SAP Results'!I76</f>
        <v>0</v>
      </c>
      <c r="J76" s="5">
        <f>'SAP Results'!J76</f>
        <v>51.364699999999999</v>
      </c>
      <c r="K76" s="5" t="str">
        <f>'SAP Results'!K76</f>
        <v>4-1</v>
      </c>
      <c r="L76" s="5">
        <f>'SAP Results'!L76</f>
        <v>2.0125000000000002</v>
      </c>
    </row>
    <row r="77" spans="1:12" ht="15.75" hidden="1" customHeight="1">
      <c r="A77" s="6" t="str">
        <f>'SAP Results'!A77</f>
        <v>4</v>
      </c>
      <c r="B77" s="5">
        <f>'SAP Results'!B77</f>
        <v>3.0187499999999998</v>
      </c>
      <c r="C77" s="5" t="str">
        <f>'SAP Results'!C77</f>
        <v>Q-1</v>
      </c>
      <c r="D77" s="5" t="str">
        <f>'SAP Results'!D77</f>
        <v>LinStatic</v>
      </c>
      <c r="E77" s="5">
        <f>'SAP Results'!E77</f>
        <v>0</v>
      </c>
      <c r="F77" s="5">
        <f>'SAP Results'!F77</f>
        <v>-16.327999999999999</v>
      </c>
      <c r="G77" s="5">
        <f>'SAP Results'!G77</f>
        <v>0</v>
      </c>
      <c r="H77" s="5">
        <f>'SAP Results'!H77</f>
        <v>0</v>
      </c>
      <c r="I77" s="5">
        <f>'SAP Results'!I77</f>
        <v>0</v>
      </c>
      <c r="J77" s="5">
        <f>'SAP Results'!J77</f>
        <v>77.983400000000003</v>
      </c>
      <c r="K77" s="5" t="str">
        <f>'SAP Results'!K77</f>
        <v>4-1</v>
      </c>
      <c r="L77" s="5">
        <f>'SAP Results'!L77</f>
        <v>3.0187499999999998</v>
      </c>
    </row>
    <row r="78" spans="1:12" ht="15.75" hidden="1" customHeight="1">
      <c r="A78" s="6" t="str">
        <f>'SAP Results'!A78</f>
        <v>4</v>
      </c>
      <c r="B78" s="5">
        <f>'SAP Results'!B78</f>
        <v>4.0250000000000004</v>
      </c>
      <c r="C78" s="5" t="str">
        <f>'SAP Results'!C78</f>
        <v>Q-1</v>
      </c>
      <c r="D78" s="5" t="str">
        <f>'SAP Results'!D78</f>
        <v>LinStatic</v>
      </c>
      <c r="E78" s="5">
        <f>'SAP Results'!E78</f>
        <v>0</v>
      </c>
      <c r="F78" s="5">
        <f>'SAP Results'!F78</f>
        <v>3.923</v>
      </c>
      <c r="G78" s="5">
        <f>'SAP Results'!G78</f>
        <v>0</v>
      </c>
      <c r="H78" s="5">
        <f>'SAP Results'!H78</f>
        <v>0</v>
      </c>
      <c r="I78" s="5">
        <f>'SAP Results'!I78</f>
        <v>0</v>
      </c>
      <c r="J78" s="5">
        <f>'SAP Results'!J78</f>
        <v>84.224699999999999</v>
      </c>
      <c r="K78" s="5" t="str">
        <f>'SAP Results'!K78</f>
        <v>4-1</v>
      </c>
      <c r="L78" s="5">
        <f>'SAP Results'!L78</f>
        <v>4.0250000000000004</v>
      </c>
    </row>
    <row r="79" spans="1:12" ht="15.75" hidden="1" customHeight="1">
      <c r="A79" s="6" t="str">
        <f>'SAP Results'!A79</f>
        <v>4</v>
      </c>
      <c r="B79" s="5">
        <f>'SAP Results'!B79</f>
        <v>5.03125</v>
      </c>
      <c r="C79" s="5" t="str">
        <f>'SAP Results'!C79</f>
        <v>Q-1</v>
      </c>
      <c r="D79" s="5" t="str">
        <f>'SAP Results'!D79</f>
        <v>LinStatic</v>
      </c>
      <c r="E79" s="5">
        <f>'SAP Results'!E79</f>
        <v>0</v>
      </c>
      <c r="F79" s="5">
        <f>'SAP Results'!F79</f>
        <v>24.173999999999999</v>
      </c>
      <c r="G79" s="5">
        <f>'SAP Results'!G79</f>
        <v>0</v>
      </c>
      <c r="H79" s="5">
        <f>'SAP Results'!H79</f>
        <v>0</v>
      </c>
      <c r="I79" s="5">
        <f>'SAP Results'!I79</f>
        <v>0</v>
      </c>
      <c r="J79" s="5">
        <f>'SAP Results'!J79</f>
        <v>70.0886</v>
      </c>
      <c r="K79" s="5" t="str">
        <f>'SAP Results'!K79</f>
        <v>4-1</v>
      </c>
      <c r="L79" s="5">
        <f>'SAP Results'!L79</f>
        <v>5.03125</v>
      </c>
    </row>
    <row r="80" spans="1:12" ht="15.75" hidden="1" customHeight="1">
      <c r="A80" s="6" t="str">
        <f>'SAP Results'!A80</f>
        <v>4</v>
      </c>
      <c r="B80" s="5">
        <f>'SAP Results'!B80</f>
        <v>6.0374999999999996</v>
      </c>
      <c r="C80" s="5" t="str">
        <f>'SAP Results'!C80</f>
        <v>Q-1</v>
      </c>
      <c r="D80" s="5" t="str">
        <f>'SAP Results'!D80</f>
        <v>LinStatic</v>
      </c>
      <c r="E80" s="5">
        <f>'SAP Results'!E80</f>
        <v>0</v>
      </c>
      <c r="F80" s="5">
        <f>'SAP Results'!F80</f>
        <v>44.423999999999999</v>
      </c>
      <c r="G80" s="5">
        <f>'SAP Results'!G80</f>
        <v>0</v>
      </c>
      <c r="H80" s="5">
        <f>'SAP Results'!H80</f>
        <v>0</v>
      </c>
      <c r="I80" s="5">
        <f>'SAP Results'!I80</f>
        <v>0</v>
      </c>
      <c r="J80" s="5">
        <f>'SAP Results'!J80</f>
        <v>35.575299999999999</v>
      </c>
      <c r="K80" s="5" t="str">
        <f>'SAP Results'!K80</f>
        <v>4-1</v>
      </c>
      <c r="L80" s="5">
        <f>'SAP Results'!L80</f>
        <v>6.0374999999999996</v>
      </c>
    </row>
    <row r="81" spans="1:12" ht="15.75" hidden="1" customHeight="1">
      <c r="A81" s="6" t="str">
        <f>'SAP Results'!A81</f>
        <v>4</v>
      </c>
      <c r="B81" s="5">
        <f>'SAP Results'!B81</f>
        <v>7.0437500000000002</v>
      </c>
      <c r="C81" s="5" t="str">
        <f>'SAP Results'!C81</f>
        <v>Q-1</v>
      </c>
      <c r="D81" s="5" t="str">
        <f>'SAP Results'!D81</f>
        <v>LinStatic</v>
      </c>
      <c r="E81" s="5">
        <f>'SAP Results'!E81</f>
        <v>0</v>
      </c>
      <c r="F81" s="5">
        <f>'SAP Results'!F81</f>
        <v>64.674999999999997</v>
      </c>
      <c r="G81" s="5">
        <f>'SAP Results'!G81</f>
        <v>0</v>
      </c>
      <c r="H81" s="5">
        <f>'SAP Results'!H81</f>
        <v>0</v>
      </c>
      <c r="I81" s="5">
        <f>'SAP Results'!I81</f>
        <v>0</v>
      </c>
      <c r="J81" s="5">
        <f>'SAP Results'!J81</f>
        <v>-19.3155</v>
      </c>
      <c r="K81" s="5" t="str">
        <f>'SAP Results'!K81</f>
        <v>4-1</v>
      </c>
      <c r="L81" s="5">
        <f>'SAP Results'!L81</f>
        <v>7.0437500000000002</v>
      </c>
    </row>
    <row r="82" spans="1:12" ht="15.75" hidden="1" customHeight="1">
      <c r="A82" s="6" t="str">
        <f>'SAP Results'!A82</f>
        <v>4</v>
      </c>
      <c r="B82" s="5">
        <f>'SAP Results'!B82</f>
        <v>8.0500000000000007</v>
      </c>
      <c r="C82" s="5" t="str">
        <f>'SAP Results'!C82</f>
        <v>Q-1</v>
      </c>
      <c r="D82" s="5" t="str">
        <f>'SAP Results'!D82</f>
        <v>LinStatic</v>
      </c>
      <c r="E82" s="5">
        <f>'SAP Results'!E82</f>
        <v>0</v>
      </c>
      <c r="F82" s="5">
        <f>'SAP Results'!F82</f>
        <v>84.926000000000002</v>
      </c>
      <c r="G82" s="5">
        <f>'SAP Results'!G82</f>
        <v>0</v>
      </c>
      <c r="H82" s="5">
        <f>'SAP Results'!H82</f>
        <v>0</v>
      </c>
      <c r="I82" s="5">
        <f>'SAP Results'!I82</f>
        <v>0</v>
      </c>
      <c r="J82" s="5">
        <f>'SAP Results'!J82</f>
        <v>-94.583600000000004</v>
      </c>
      <c r="K82" s="5" t="str">
        <f>'SAP Results'!K82</f>
        <v>4-1</v>
      </c>
      <c r="L82" s="5">
        <f>'SAP Results'!L82</f>
        <v>8.0500000000000007</v>
      </c>
    </row>
    <row r="83" spans="1:12" ht="15.75" hidden="1" customHeight="1">
      <c r="A83" s="6" t="str">
        <f>'SAP Results'!A83</f>
        <v>4</v>
      </c>
      <c r="B83" s="5">
        <f>'SAP Results'!B83</f>
        <v>0</v>
      </c>
      <c r="C83" s="5" t="str">
        <f>'SAP Results'!C83</f>
        <v>Q-2</v>
      </c>
      <c r="D83" s="5" t="str">
        <f>'SAP Results'!D83</f>
        <v>LinStatic</v>
      </c>
      <c r="E83" s="5">
        <f>'SAP Results'!E83</f>
        <v>0</v>
      </c>
      <c r="F83" s="5">
        <f>'SAP Results'!F83</f>
        <v>5.1529999999999996</v>
      </c>
      <c r="G83" s="5">
        <f>'SAP Results'!G83</f>
        <v>0</v>
      </c>
      <c r="H83" s="5">
        <f>'SAP Results'!H83</f>
        <v>0</v>
      </c>
      <c r="I83" s="5">
        <f>'SAP Results'!I83</f>
        <v>0</v>
      </c>
      <c r="J83" s="5">
        <f>'SAP Results'!J83</f>
        <v>5.1230000000000002</v>
      </c>
      <c r="K83" s="5" t="str">
        <f>'SAP Results'!K83</f>
        <v>4-1</v>
      </c>
      <c r="L83" s="5">
        <f>'SAP Results'!L83</f>
        <v>0</v>
      </c>
    </row>
    <row r="84" spans="1:12" ht="15.75" hidden="1" customHeight="1">
      <c r="A84" s="6" t="str">
        <f>'SAP Results'!A84</f>
        <v>4</v>
      </c>
      <c r="B84" s="5">
        <f>'SAP Results'!B84</f>
        <v>1.0062500000000001</v>
      </c>
      <c r="C84" s="5" t="str">
        <f>'SAP Results'!C84</f>
        <v>Q-2</v>
      </c>
      <c r="D84" s="5" t="str">
        <f>'SAP Results'!D84</f>
        <v>LinStatic</v>
      </c>
      <c r="E84" s="5">
        <f>'SAP Results'!E84</f>
        <v>0</v>
      </c>
      <c r="F84" s="5">
        <f>'SAP Results'!F84</f>
        <v>5.1529999999999996</v>
      </c>
      <c r="G84" s="5">
        <f>'SAP Results'!G84</f>
        <v>0</v>
      </c>
      <c r="H84" s="5">
        <f>'SAP Results'!H84</f>
        <v>0</v>
      </c>
      <c r="I84" s="5">
        <f>'SAP Results'!I84</f>
        <v>0</v>
      </c>
      <c r="J84" s="5">
        <f>'SAP Results'!J84</f>
        <v>-6.1899999999999997E-2</v>
      </c>
      <c r="K84" s="5" t="str">
        <f>'SAP Results'!K84</f>
        <v>4-1</v>
      </c>
      <c r="L84" s="5">
        <f>'SAP Results'!L84</f>
        <v>1.0062500000000001</v>
      </c>
    </row>
    <row r="85" spans="1:12" ht="15.75" hidden="1" customHeight="1">
      <c r="A85" s="6" t="str">
        <f>'SAP Results'!A85</f>
        <v>4</v>
      </c>
      <c r="B85" s="5">
        <f>'SAP Results'!B85</f>
        <v>2.0125000000000002</v>
      </c>
      <c r="C85" s="5" t="str">
        <f>'SAP Results'!C85</f>
        <v>Q-2</v>
      </c>
      <c r="D85" s="5" t="str">
        <f>'SAP Results'!D85</f>
        <v>LinStatic</v>
      </c>
      <c r="E85" s="5">
        <f>'SAP Results'!E85</f>
        <v>0</v>
      </c>
      <c r="F85" s="5">
        <f>'SAP Results'!F85</f>
        <v>5.1529999999999996</v>
      </c>
      <c r="G85" s="5">
        <f>'SAP Results'!G85</f>
        <v>0</v>
      </c>
      <c r="H85" s="5">
        <f>'SAP Results'!H85</f>
        <v>0</v>
      </c>
      <c r="I85" s="5">
        <f>'SAP Results'!I85</f>
        <v>0</v>
      </c>
      <c r="J85" s="5">
        <f>'SAP Results'!J85</f>
        <v>-5.2468000000000004</v>
      </c>
      <c r="K85" s="5" t="str">
        <f>'SAP Results'!K85</f>
        <v>4-1</v>
      </c>
      <c r="L85" s="5">
        <f>'SAP Results'!L85</f>
        <v>2.0125000000000002</v>
      </c>
    </row>
    <row r="86" spans="1:12" ht="15.75" hidden="1" customHeight="1">
      <c r="A86" s="6" t="str">
        <f>'SAP Results'!A86</f>
        <v>4</v>
      </c>
      <c r="B86" s="5">
        <f>'SAP Results'!B86</f>
        <v>3.0187499999999998</v>
      </c>
      <c r="C86" s="5" t="str">
        <f>'SAP Results'!C86</f>
        <v>Q-2</v>
      </c>
      <c r="D86" s="5" t="str">
        <f>'SAP Results'!D86</f>
        <v>LinStatic</v>
      </c>
      <c r="E86" s="5">
        <f>'SAP Results'!E86</f>
        <v>0</v>
      </c>
      <c r="F86" s="5">
        <f>'SAP Results'!F86</f>
        <v>5.1529999999999996</v>
      </c>
      <c r="G86" s="5">
        <f>'SAP Results'!G86</f>
        <v>0</v>
      </c>
      <c r="H86" s="5">
        <f>'SAP Results'!H86</f>
        <v>0</v>
      </c>
      <c r="I86" s="5">
        <f>'SAP Results'!I86</f>
        <v>0</v>
      </c>
      <c r="J86" s="5">
        <f>'SAP Results'!J86</f>
        <v>-10.431699999999999</v>
      </c>
      <c r="K86" s="5" t="str">
        <f>'SAP Results'!K86</f>
        <v>4-1</v>
      </c>
      <c r="L86" s="5">
        <f>'SAP Results'!L86</f>
        <v>3.0187499999999998</v>
      </c>
    </row>
    <row r="87" spans="1:12" ht="15.75" hidden="1" customHeight="1">
      <c r="A87" s="6" t="str">
        <f>'SAP Results'!A87</f>
        <v>4</v>
      </c>
      <c r="B87" s="5">
        <f>'SAP Results'!B87</f>
        <v>4.0250000000000004</v>
      </c>
      <c r="C87" s="5" t="str">
        <f>'SAP Results'!C87</f>
        <v>Q-2</v>
      </c>
      <c r="D87" s="5" t="str">
        <f>'SAP Results'!D87</f>
        <v>LinStatic</v>
      </c>
      <c r="E87" s="5">
        <f>'SAP Results'!E87</f>
        <v>0</v>
      </c>
      <c r="F87" s="5">
        <f>'SAP Results'!F87</f>
        <v>5.1529999999999996</v>
      </c>
      <c r="G87" s="5">
        <f>'SAP Results'!G87</f>
        <v>0</v>
      </c>
      <c r="H87" s="5">
        <f>'SAP Results'!H87</f>
        <v>0</v>
      </c>
      <c r="I87" s="5">
        <f>'SAP Results'!I87</f>
        <v>0</v>
      </c>
      <c r="J87" s="5">
        <f>'SAP Results'!J87</f>
        <v>-15.6166</v>
      </c>
      <c r="K87" s="5" t="str">
        <f>'SAP Results'!K87</f>
        <v>4-1</v>
      </c>
      <c r="L87" s="5">
        <f>'SAP Results'!L87</f>
        <v>4.0250000000000004</v>
      </c>
    </row>
    <row r="88" spans="1:12" ht="15.75" hidden="1" customHeight="1">
      <c r="A88" s="6" t="str">
        <f>'SAP Results'!A88</f>
        <v>4</v>
      </c>
      <c r="B88" s="5">
        <f>'SAP Results'!B88</f>
        <v>5.03125</v>
      </c>
      <c r="C88" s="5" t="str">
        <f>'SAP Results'!C88</f>
        <v>Q-2</v>
      </c>
      <c r="D88" s="5" t="str">
        <f>'SAP Results'!D88</f>
        <v>LinStatic</v>
      </c>
      <c r="E88" s="5">
        <f>'SAP Results'!E88</f>
        <v>0</v>
      </c>
      <c r="F88" s="5">
        <f>'SAP Results'!F88</f>
        <v>5.1529999999999996</v>
      </c>
      <c r="G88" s="5">
        <f>'SAP Results'!G88</f>
        <v>0</v>
      </c>
      <c r="H88" s="5">
        <f>'SAP Results'!H88</f>
        <v>0</v>
      </c>
      <c r="I88" s="5">
        <f>'SAP Results'!I88</f>
        <v>0</v>
      </c>
      <c r="J88" s="5">
        <f>'SAP Results'!J88</f>
        <v>-20.801500000000001</v>
      </c>
      <c r="K88" s="5" t="str">
        <f>'SAP Results'!K88</f>
        <v>4-1</v>
      </c>
      <c r="L88" s="5">
        <f>'SAP Results'!L88</f>
        <v>5.03125</v>
      </c>
    </row>
    <row r="89" spans="1:12" ht="15.75" hidden="1" customHeight="1">
      <c r="A89" s="6" t="str">
        <f>'SAP Results'!A89</f>
        <v>4</v>
      </c>
      <c r="B89" s="5">
        <f>'SAP Results'!B89</f>
        <v>6.0374999999999996</v>
      </c>
      <c r="C89" s="5" t="str">
        <f>'SAP Results'!C89</f>
        <v>Q-2</v>
      </c>
      <c r="D89" s="5" t="str">
        <f>'SAP Results'!D89</f>
        <v>LinStatic</v>
      </c>
      <c r="E89" s="5">
        <f>'SAP Results'!E89</f>
        <v>0</v>
      </c>
      <c r="F89" s="5">
        <f>'SAP Results'!F89</f>
        <v>5.1529999999999996</v>
      </c>
      <c r="G89" s="5">
        <f>'SAP Results'!G89</f>
        <v>0</v>
      </c>
      <c r="H89" s="5">
        <f>'SAP Results'!H89</f>
        <v>0</v>
      </c>
      <c r="I89" s="5">
        <f>'SAP Results'!I89</f>
        <v>0</v>
      </c>
      <c r="J89" s="5">
        <f>'SAP Results'!J89</f>
        <v>-25.9864</v>
      </c>
      <c r="K89" s="5" t="str">
        <f>'SAP Results'!K89</f>
        <v>4-1</v>
      </c>
      <c r="L89" s="5">
        <f>'SAP Results'!L89</f>
        <v>6.0374999999999996</v>
      </c>
    </row>
    <row r="90" spans="1:12" ht="15.75" hidden="1" customHeight="1">
      <c r="A90" s="6" t="str">
        <f>'SAP Results'!A90</f>
        <v>4</v>
      </c>
      <c r="B90" s="5">
        <f>'SAP Results'!B90</f>
        <v>7.0437500000000002</v>
      </c>
      <c r="C90" s="5" t="str">
        <f>'SAP Results'!C90</f>
        <v>Q-2</v>
      </c>
      <c r="D90" s="5" t="str">
        <f>'SAP Results'!D90</f>
        <v>LinStatic</v>
      </c>
      <c r="E90" s="5">
        <f>'SAP Results'!E90</f>
        <v>0</v>
      </c>
      <c r="F90" s="5">
        <f>'SAP Results'!F90</f>
        <v>5.1529999999999996</v>
      </c>
      <c r="G90" s="5">
        <f>'SAP Results'!G90</f>
        <v>0</v>
      </c>
      <c r="H90" s="5">
        <f>'SAP Results'!H90</f>
        <v>0</v>
      </c>
      <c r="I90" s="5">
        <f>'SAP Results'!I90</f>
        <v>0</v>
      </c>
      <c r="J90" s="5">
        <f>'SAP Results'!J90</f>
        <v>-31.171299999999999</v>
      </c>
      <c r="K90" s="5" t="str">
        <f>'SAP Results'!K90</f>
        <v>4-1</v>
      </c>
      <c r="L90" s="5">
        <f>'SAP Results'!L90</f>
        <v>7.0437500000000002</v>
      </c>
    </row>
    <row r="91" spans="1:12" ht="15.75" hidden="1" customHeight="1">
      <c r="A91" s="6" t="str">
        <f>'SAP Results'!A91</f>
        <v>4</v>
      </c>
      <c r="B91" s="5">
        <f>'SAP Results'!B91</f>
        <v>8.0500000000000007</v>
      </c>
      <c r="C91" s="5" t="str">
        <f>'SAP Results'!C91</f>
        <v>Q-2</v>
      </c>
      <c r="D91" s="5" t="str">
        <f>'SAP Results'!D91</f>
        <v>LinStatic</v>
      </c>
      <c r="E91" s="5">
        <f>'SAP Results'!E91</f>
        <v>0</v>
      </c>
      <c r="F91" s="5">
        <f>'SAP Results'!F91</f>
        <v>5.1529999999999996</v>
      </c>
      <c r="G91" s="5">
        <f>'SAP Results'!G91</f>
        <v>0</v>
      </c>
      <c r="H91" s="5">
        <f>'SAP Results'!H91</f>
        <v>0</v>
      </c>
      <c r="I91" s="5">
        <f>'SAP Results'!I91</f>
        <v>0</v>
      </c>
      <c r="J91" s="5">
        <f>'SAP Results'!J91</f>
        <v>-36.356200000000001</v>
      </c>
      <c r="K91" s="5" t="str">
        <f>'SAP Results'!K91</f>
        <v>4-1</v>
      </c>
      <c r="L91" s="5">
        <f>'SAP Results'!L91</f>
        <v>8.0500000000000007</v>
      </c>
    </row>
    <row r="92" spans="1:12" ht="15.75" hidden="1" customHeight="1">
      <c r="A92" s="6" t="str">
        <f>'SAP Results'!A92</f>
        <v>5</v>
      </c>
      <c r="B92" s="5">
        <f>'SAP Results'!B92</f>
        <v>0</v>
      </c>
      <c r="C92" s="5" t="str">
        <f>'SAP Results'!C92</f>
        <v>EX</v>
      </c>
      <c r="D92" s="5" t="str">
        <f>'SAP Results'!D92</f>
        <v>LinStatic</v>
      </c>
      <c r="E92" s="5">
        <f>'SAP Results'!E92</f>
        <v>0</v>
      </c>
      <c r="F92" s="5">
        <f>'SAP Results'!F92</f>
        <v>18.693999999999999</v>
      </c>
      <c r="G92" s="5">
        <f>'SAP Results'!G92</f>
        <v>0</v>
      </c>
      <c r="H92" s="5">
        <f>'SAP Results'!H92</f>
        <v>0</v>
      </c>
      <c r="I92" s="5">
        <f>'SAP Results'!I92</f>
        <v>0</v>
      </c>
      <c r="J92" s="5">
        <f>'SAP Results'!J92</f>
        <v>64.579499999999996</v>
      </c>
      <c r="K92" s="5" t="str">
        <f>'SAP Results'!K92</f>
        <v>5-1</v>
      </c>
      <c r="L92" s="5">
        <f>'SAP Results'!L92</f>
        <v>0</v>
      </c>
    </row>
    <row r="93" spans="1:12" ht="15.75" hidden="1" customHeight="1">
      <c r="A93" s="6" t="str">
        <f>'SAP Results'!A93</f>
        <v>5</v>
      </c>
      <c r="B93" s="5">
        <f>'SAP Results'!B93</f>
        <v>1.0062500000000001</v>
      </c>
      <c r="C93" s="5" t="str">
        <f>'SAP Results'!C93</f>
        <v>EX</v>
      </c>
      <c r="D93" s="5" t="str">
        <f>'SAP Results'!D93</f>
        <v>LinStatic</v>
      </c>
      <c r="E93" s="5">
        <f>'SAP Results'!E93</f>
        <v>0</v>
      </c>
      <c r="F93" s="5">
        <f>'SAP Results'!F93</f>
        <v>18.693999999999999</v>
      </c>
      <c r="G93" s="5">
        <f>'SAP Results'!G93</f>
        <v>0</v>
      </c>
      <c r="H93" s="5">
        <f>'SAP Results'!H93</f>
        <v>0</v>
      </c>
      <c r="I93" s="5">
        <f>'SAP Results'!I93</f>
        <v>0</v>
      </c>
      <c r="J93" s="5">
        <f>'SAP Results'!J93</f>
        <v>45.768900000000002</v>
      </c>
      <c r="K93" s="5" t="str">
        <f>'SAP Results'!K93</f>
        <v>5-1</v>
      </c>
      <c r="L93" s="5">
        <f>'SAP Results'!L93</f>
        <v>1.0062500000000001</v>
      </c>
    </row>
    <row r="94" spans="1:12" ht="15.75" hidden="1" customHeight="1">
      <c r="A94" s="6" t="str">
        <f>'SAP Results'!A94</f>
        <v>5</v>
      </c>
      <c r="B94" s="5">
        <f>'SAP Results'!B94</f>
        <v>2.0125000000000002</v>
      </c>
      <c r="C94" s="5" t="str">
        <f>'SAP Results'!C94</f>
        <v>EX</v>
      </c>
      <c r="D94" s="5" t="str">
        <f>'SAP Results'!D94</f>
        <v>LinStatic</v>
      </c>
      <c r="E94" s="5">
        <f>'SAP Results'!E94</f>
        <v>0</v>
      </c>
      <c r="F94" s="5">
        <f>'SAP Results'!F94</f>
        <v>18.693999999999999</v>
      </c>
      <c r="G94" s="5">
        <f>'SAP Results'!G94</f>
        <v>0</v>
      </c>
      <c r="H94" s="5">
        <f>'SAP Results'!H94</f>
        <v>0</v>
      </c>
      <c r="I94" s="5">
        <f>'SAP Results'!I94</f>
        <v>0</v>
      </c>
      <c r="J94" s="5">
        <f>'SAP Results'!J94</f>
        <v>26.958400000000001</v>
      </c>
      <c r="K94" s="5" t="str">
        <f>'SAP Results'!K94</f>
        <v>5-1</v>
      </c>
      <c r="L94" s="5">
        <f>'SAP Results'!L94</f>
        <v>2.0125000000000002</v>
      </c>
    </row>
    <row r="95" spans="1:12" ht="15.75" hidden="1" customHeight="1">
      <c r="A95" s="6" t="str">
        <f>'SAP Results'!A95</f>
        <v>5</v>
      </c>
      <c r="B95" s="5">
        <f>'SAP Results'!B95</f>
        <v>3.0187499999999998</v>
      </c>
      <c r="C95" s="5" t="str">
        <f>'SAP Results'!C95</f>
        <v>EX</v>
      </c>
      <c r="D95" s="5" t="str">
        <f>'SAP Results'!D95</f>
        <v>LinStatic</v>
      </c>
      <c r="E95" s="5">
        <f>'SAP Results'!E95</f>
        <v>0</v>
      </c>
      <c r="F95" s="5">
        <f>'SAP Results'!F95</f>
        <v>18.693999999999999</v>
      </c>
      <c r="G95" s="5">
        <f>'SAP Results'!G95</f>
        <v>0</v>
      </c>
      <c r="H95" s="5">
        <f>'SAP Results'!H95</f>
        <v>0</v>
      </c>
      <c r="I95" s="5">
        <f>'SAP Results'!I95</f>
        <v>0</v>
      </c>
      <c r="J95" s="5">
        <f>'SAP Results'!J95</f>
        <v>8.1478999999999999</v>
      </c>
      <c r="K95" s="5" t="str">
        <f>'SAP Results'!K95</f>
        <v>5-1</v>
      </c>
      <c r="L95" s="5">
        <f>'SAP Results'!L95</f>
        <v>3.0187499999999998</v>
      </c>
    </row>
    <row r="96" spans="1:12" ht="15.75" hidden="1" customHeight="1">
      <c r="A96" s="6" t="str">
        <f>'SAP Results'!A96</f>
        <v>5</v>
      </c>
      <c r="B96" s="5">
        <f>'SAP Results'!B96</f>
        <v>4.0250000000000004</v>
      </c>
      <c r="C96" s="5" t="str">
        <f>'SAP Results'!C96</f>
        <v>EX</v>
      </c>
      <c r="D96" s="5" t="str">
        <f>'SAP Results'!D96</f>
        <v>LinStatic</v>
      </c>
      <c r="E96" s="5">
        <f>'SAP Results'!E96</f>
        <v>0</v>
      </c>
      <c r="F96" s="5">
        <f>'SAP Results'!F96</f>
        <v>18.693999999999999</v>
      </c>
      <c r="G96" s="5">
        <f>'SAP Results'!G96</f>
        <v>0</v>
      </c>
      <c r="H96" s="5">
        <f>'SAP Results'!H96</f>
        <v>0</v>
      </c>
      <c r="I96" s="5">
        <f>'SAP Results'!I96</f>
        <v>0</v>
      </c>
      <c r="J96" s="5">
        <f>'SAP Results'!J96</f>
        <v>-10.662599999999999</v>
      </c>
      <c r="K96" s="5" t="str">
        <f>'SAP Results'!K96</f>
        <v>5-1</v>
      </c>
      <c r="L96" s="5">
        <f>'SAP Results'!L96</f>
        <v>4.0250000000000004</v>
      </c>
    </row>
    <row r="97" spans="1:12" ht="15.75" hidden="1" customHeight="1">
      <c r="A97" s="6" t="str">
        <f>'SAP Results'!A97</f>
        <v>5</v>
      </c>
      <c r="B97" s="5">
        <f>'SAP Results'!B97</f>
        <v>5.03125</v>
      </c>
      <c r="C97" s="5" t="str">
        <f>'SAP Results'!C97</f>
        <v>EX</v>
      </c>
      <c r="D97" s="5" t="str">
        <f>'SAP Results'!D97</f>
        <v>LinStatic</v>
      </c>
      <c r="E97" s="5">
        <f>'SAP Results'!E97</f>
        <v>0</v>
      </c>
      <c r="F97" s="5">
        <f>'SAP Results'!F97</f>
        <v>18.693999999999999</v>
      </c>
      <c r="G97" s="5">
        <f>'SAP Results'!G97</f>
        <v>0</v>
      </c>
      <c r="H97" s="5">
        <f>'SAP Results'!H97</f>
        <v>0</v>
      </c>
      <c r="I97" s="5">
        <f>'SAP Results'!I97</f>
        <v>0</v>
      </c>
      <c r="J97" s="5">
        <f>'SAP Results'!J97</f>
        <v>-29.473199999999999</v>
      </c>
      <c r="K97" s="5" t="str">
        <f>'SAP Results'!K97</f>
        <v>5-1</v>
      </c>
      <c r="L97" s="5">
        <f>'SAP Results'!L97</f>
        <v>5.03125</v>
      </c>
    </row>
    <row r="98" spans="1:12" ht="15.75" hidden="1" customHeight="1">
      <c r="A98" s="6" t="str">
        <f>'SAP Results'!A98</f>
        <v>5</v>
      </c>
      <c r="B98" s="5">
        <f>'SAP Results'!B98</f>
        <v>6.0374999999999996</v>
      </c>
      <c r="C98" s="5" t="str">
        <f>'SAP Results'!C98</f>
        <v>EX</v>
      </c>
      <c r="D98" s="5" t="str">
        <f>'SAP Results'!D98</f>
        <v>LinStatic</v>
      </c>
      <c r="E98" s="5">
        <f>'SAP Results'!E98</f>
        <v>0</v>
      </c>
      <c r="F98" s="5">
        <f>'SAP Results'!F98</f>
        <v>18.693999999999999</v>
      </c>
      <c r="G98" s="5">
        <f>'SAP Results'!G98</f>
        <v>0</v>
      </c>
      <c r="H98" s="5">
        <f>'SAP Results'!H98</f>
        <v>0</v>
      </c>
      <c r="I98" s="5">
        <f>'SAP Results'!I98</f>
        <v>0</v>
      </c>
      <c r="J98" s="5">
        <f>'SAP Results'!J98</f>
        <v>-48.283700000000003</v>
      </c>
      <c r="K98" s="5" t="str">
        <f>'SAP Results'!K98</f>
        <v>5-1</v>
      </c>
      <c r="L98" s="5">
        <f>'SAP Results'!L98</f>
        <v>6.0374999999999996</v>
      </c>
    </row>
    <row r="99" spans="1:12" ht="15.75" hidden="1" customHeight="1">
      <c r="A99" s="6" t="str">
        <f>'SAP Results'!A99</f>
        <v>5</v>
      </c>
      <c r="B99" s="5">
        <f>'SAP Results'!B99</f>
        <v>7.0437500000000002</v>
      </c>
      <c r="C99" s="5" t="str">
        <f>'SAP Results'!C99</f>
        <v>EX</v>
      </c>
      <c r="D99" s="5" t="str">
        <f>'SAP Results'!D99</f>
        <v>LinStatic</v>
      </c>
      <c r="E99" s="5">
        <f>'SAP Results'!E99</f>
        <v>0</v>
      </c>
      <c r="F99" s="5">
        <f>'SAP Results'!F99</f>
        <v>18.693999999999999</v>
      </c>
      <c r="G99" s="5">
        <f>'SAP Results'!G99</f>
        <v>0</v>
      </c>
      <c r="H99" s="5">
        <f>'SAP Results'!H99</f>
        <v>0</v>
      </c>
      <c r="I99" s="5">
        <f>'SAP Results'!I99</f>
        <v>0</v>
      </c>
      <c r="J99" s="5">
        <f>'SAP Results'!J99</f>
        <v>-67.094200000000001</v>
      </c>
      <c r="K99" s="5" t="str">
        <f>'SAP Results'!K99</f>
        <v>5-1</v>
      </c>
      <c r="L99" s="5">
        <f>'SAP Results'!L99</f>
        <v>7.0437500000000002</v>
      </c>
    </row>
    <row r="100" spans="1:12" ht="15.75" hidden="1" customHeight="1">
      <c r="A100" s="6" t="str">
        <f>'SAP Results'!A100</f>
        <v>5</v>
      </c>
      <c r="B100" s="5">
        <f>'SAP Results'!B100</f>
        <v>8.0500000000000007</v>
      </c>
      <c r="C100" s="5" t="str">
        <f>'SAP Results'!C100</f>
        <v>EX</v>
      </c>
      <c r="D100" s="5" t="str">
        <f>'SAP Results'!D100</f>
        <v>LinStatic</v>
      </c>
      <c r="E100" s="5">
        <f>'SAP Results'!E100</f>
        <v>0</v>
      </c>
      <c r="F100" s="5">
        <f>'SAP Results'!F100</f>
        <v>18.693999999999999</v>
      </c>
      <c r="G100" s="5">
        <f>'SAP Results'!G100</f>
        <v>0</v>
      </c>
      <c r="H100" s="5">
        <f>'SAP Results'!H100</f>
        <v>0</v>
      </c>
      <c r="I100" s="5">
        <f>'SAP Results'!I100</f>
        <v>0</v>
      </c>
      <c r="J100" s="5">
        <f>'SAP Results'!J100</f>
        <v>-85.904799999999994</v>
      </c>
      <c r="K100" s="5" t="str">
        <f>'SAP Results'!K100</f>
        <v>5-1</v>
      </c>
      <c r="L100" s="5">
        <f>'SAP Results'!L100</f>
        <v>8.0500000000000007</v>
      </c>
    </row>
    <row r="101" spans="1:12" ht="15.75" hidden="1" customHeight="1">
      <c r="A101" s="6" t="str">
        <f>'SAP Results'!A101</f>
        <v>5</v>
      </c>
      <c r="B101" s="5">
        <f>'SAP Results'!B101</f>
        <v>0</v>
      </c>
      <c r="C101" s="5" t="str">
        <f>'SAP Results'!C101</f>
        <v>G-1</v>
      </c>
      <c r="D101" s="5" t="str">
        <f>'SAP Results'!D101</f>
        <v>LinStatic</v>
      </c>
      <c r="E101" s="5">
        <f>'SAP Results'!E101</f>
        <v>0</v>
      </c>
      <c r="F101" s="5">
        <f>'SAP Results'!F101</f>
        <v>-10.212999999999999</v>
      </c>
      <c r="G101" s="5">
        <f>'SAP Results'!G101</f>
        <v>0</v>
      </c>
      <c r="H101" s="5">
        <f>'SAP Results'!H101</f>
        <v>0</v>
      </c>
      <c r="I101" s="5">
        <f>'SAP Results'!I101</f>
        <v>0</v>
      </c>
      <c r="J101" s="5">
        <f>'SAP Results'!J101</f>
        <v>-72.061999999999998</v>
      </c>
      <c r="K101" s="5" t="str">
        <f>'SAP Results'!K101</f>
        <v>5-1</v>
      </c>
      <c r="L101" s="5">
        <f>'SAP Results'!L101</f>
        <v>0</v>
      </c>
    </row>
    <row r="102" spans="1:12" ht="15.75" hidden="1" customHeight="1">
      <c r="A102" s="6" t="str">
        <f>'SAP Results'!A102</f>
        <v>5</v>
      </c>
      <c r="B102" s="5">
        <f>'SAP Results'!B102</f>
        <v>1.0062500000000001</v>
      </c>
      <c r="C102" s="5" t="str">
        <f>'SAP Results'!C102</f>
        <v>G-1</v>
      </c>
      <c r="D102" s="5" t="str">
        <f>'SAP Results'!D102</f>
        <v>LinStatic</v>
      </c>
      <c r="E102" s="5">
        <f>'SAP Results'!E102</f>
        <v>0</v>
      </c>
      <c r="F102" s="5">
        <f>'SAP Results'!F102</f>
        <v>-10.212999999999999</v>
      </c>
      <c r="G102" s="5">
        <f>'SAP Results'!G102</f>
        <v>0</v>
      </c>
      <c r="H102" s="5">
        <f>'SAP Results'!H102</f>
        <v>0</v>
      </c>
      <c r="I102" s="5">
        <f>'SAP Results'!I102</f>
        <v>0</v>
      </c>
      <c r="J102" s="5">
        <f>'SAP Results'!J102</f>
        <v>-61.784999999999997</v>
      </c>
      <c r="K102" s="5" t="str">
        <f>'SAP Results'!K102</f>
        <v>5-1</v>
      </c>
      <c r="L102" s="5">
        <f>'SAP Results'!L102</f>
        <v>1.0062500000000001</v>
      </c>
    </row>
    <row r="103" spans="1:12" ht="15.75" hidden="1" customHeight="1">
      <c r="A103" s="6" t="str">
        <f>'SAP Results'!A103</f>
        <v>5</v>
      </c>
      <c r="B103" s="5">
        <f>'SAP Results'!B103</f>
        <v>2.0125000000000002</v>
      </c>
      <c r="C103" s="5" t="str">
        <f>'SAP Results'!C103</f>
        <v>G-1</v>
      </c>
      <c r="D103" s="5" t="str">
        <f>'SAP Results'!D103</f>
        <v>LinStatic</v>
      </c>
      <c r="E103" s="5">
        <f>'SAP Results'!E103</f>
        <v>0</v>
      </c>
      <c r="F103" s="5">
        <f>'SAP Results'!F103</f>
        <v>-10.212999999999999</v>
      </c>
      <c r="G103" s="5">
        <f>'SAP Results'!G103</f>
        <v>0</v>
      </c>
      <c r="H103" s="5">
        <f>'SAP Results'!H103</f>
        <v>0</v>
      </c>
      <c r="I103" s="5">
        <f>'SAP Results'!I103</f>
        <v>0</v>
      </c>
      <c r="J103" s="5">
        <f>'SAP Results'!J103</f>
        <v>-51.507899999999999</v>
      </c>
      <c r="K103" s="5" t="str">
        <f>'SAP Results'!K103</f>
        <v>5-1</v>
      </c>
      <c r="L103" s="5">
        <f>'SAP Results'!L103</f>
        <v>2.0125000000000002</v>
      </c>
    </row>
    <row r="104" spans="1:12" ht="15.75" hidden="1" customHeight="1">
      <c r="A104" s="6" t="str">
        <f>'SAP Results'!A104</f>
        <v>5</v>
      </c>
      <c r="B104" s="5">
        <f>'SAP Results'!B104</f>
        <v>3.0187499999999998</v>
      </c>
      <c r="C104" s="5" t="str">
        <f>'SAP Results'!C104</f>
        <v>G-1</v>
      </c>
      <c r="D104" s="5" t="str">
        <f>'SAP Results'!D104</f>
        <v>LinStatic</v>
      </c>
      <c r="E104" s="5">
        <f>'SAP Results'!E104</f>
        <v>0</v>
      </c>
      <c r="F104" s="5">
        <f>'SAP Results'!F104</f>
        <v>-10.212999999999999</v>
      </c>
      <c r="G104" s="5">
        <f>'SAP Results'!G104</f>
        <v>0</v>
      </c>
      <c r="H104" s="5">
        <f>'SAP Results'!H104</f>
        <v>0</v>
      </c>
      <c r="I104" s="5">
        <f>'SAP Results'!I104</f>
        <v>0</v>
      </c>
      <c r="J104" s="5">
        <f>'SAP Results'!J104</f>
        <v>-41.230899999999998</v>
      </c>
      <c r="K104" s="5" t="str">
        <f>'SAP Results'!K104</f>
        <v>5-1</v>
      </c>
      <c r="L104" s="5">
        <f>'SAP Results'!L104</f>
        <v>3.0187499999999998</v>
      </c>
    </row>
    <row r="105" spans="1:12" ht="15.75" hidden="1" customHeight="1">
      <c r="A105" s="6" t="str">
        <f>'SAP Results'!A105</f>
        <v>5</v>
      </c>
      <c r="B105" s="5">
        <f>'SAP Results'!B105</f>
        <v>4.0250000000000004</v>
      </c>
      <c r="C105" s="5" t="str">
        <f>'SAP Results'!C105</f>
        <v>G-1</v>
      </c>
      <c r="D105" s="5" t="str">
        <f>'SAP Results'!D105</f>
        <v>LinStatic</v>
      </c>
      <c r="E105" s="5">
        <f>'SAP Results'!E105</f>
        <v>0</v>
      </c>
      <c r="F105" s="5">
        <f>'SAP Results'!F105</f>
        <v>-10.212999999999999</v>
      </c>
      <c r="G105" s="5">
        <f>'SAP Results'!G105</f>
        <v>0</v>
      </c>
      <c r="H105" s="5">
        <f>'SAP Results'!H105</f>
        <v>0</v>
      </c>
      <c r="I105" s="5">
        <f>'SAP Results'!I105</f>
        <v>0</v>
      </c>
      <c r="J105" s="5">
        <f>'SAP Results'!J105</f>
        <v>-30.953800000000001</v>
      </c>
      <c r="K105" s="5" t="str">
        <f>'SAP Results'!K105</f>
        <v>5-1</v>
      </c>
      <c r="L105" s="5">
        <f>'SAP Results'!L105</f>
        <v>4.0250000000000004</v>
      </c>
    </row>
    <row r="106" spans="1:12" ht="15.75" hidden="1" customHeight="1">
      <c r="A106" s="6" t="str">
        <f>'SAP Results'!A106</f>
        <v>5</v>
      </c>
      <c r="B106" s="5">
        <f>'SAP Results'!B106</f>
        <v>5.03125</v>
      </c>
      <c r="C106" s="5" t="str">
        <f>'SAP Results'!C106</f>
        <v>G-1</v>
      </c>
      <c r="D106" s="5" t="str">
        <f>'SAP Results'!D106</f>
        <v>LinStatic</v>
      </c>
      <c r="E106" s="5">
        <f>'SAP Results'!E106</f>
        <v>0</v>
      </c>
      <c r="F106" s="5">
        <f>'SAP Results'!F106</f>
        <v>-10.212999999999999</v>
      </c>
      <c r="G106" s="5">
        <f>'SAP Results'!G106</f>
        <v>0</v>
      </c>
      <c r="H106" s="5">
        <f>'SAP Results'!H106</f>
        <v>0</v>
      </c>
      <c r="I106" s="5">
        <f>'SAP Results'!I106</f>
        <v>0</v>
      </c>
      <c r="J106" s="5">
        <f>'SAP Results'!J106</f>
        <v>-20.6768</v>
      </c>
      <c r="K106" s="5" t="str">
        <f>'SAP Results'!K106</f>
        <v>5-1</v>
      </c>
      <c r="L106" s="5">
        <f>'SAP Results'!L106</f>
        <v>5.03125</v>
      </c>
    </row>
    <row r="107" spans="1:12" ht="15.75" hidden="1" customHeight="1">
      <c r="A107" s="6" t="str">
        <f>'SAP Results'!A107</f>
        <v>5</v>
      </c>
      <c r="B107" s="5">
        <f>'SAP Results'!B107</f>
        <v>6.0374999999999996</v>
      </c>
      <c r="C107" s="5" t="str">
        <f>'SAP Results'!C107</f>
        <v>G-1</v>
      </c>
      <c r="D107" s="5" t="str">
        <f>'SAP Results'!D107</f>
        <v>LinStatic</v>
      </c>
      <c r="E107" s="5">
        <f>'SAP Results'!E107</f>
        <v>0</v>
      </c>
      <c r="F107" s="5">
        <f>'SAP Results'!F107</f>
        <v>-10.212999999999999</v>
      </c>
      <c r="G107" s="5">
        <f>'SAP Results'!G107</f>
        <v>0</v>
      </c>
      <c r="H107" s="5">
        <f>'SAP Results'!H107</f>
        <v>0</v>
      </c>
      <c r="I107" s="5">
        <f>'SAP Results'!I107</f>
        <v>0</v>
      </c>
      <c r="J107" s="5">
        <f>'SAP Results'!J107</f>
        <v>-10.399800000000001</v>
      </c>
      <c r="K107" s="5" t="str">
        <f>'SAP Results'!K107</f>
        <v>5-1</v>
      </c>
      <c r="L107" s="5">
        <f>'SAP Results'!L107</f>
        <v>6.0374999999999996</v>
      </c>
    </row>
    <row r="108" spans="1:12" ht="15.75" hidden="1" customHeight="1">
      <c r="A108" s="6" t="str">
        <f>'SAP Results'!A108</f>
        <v>5</v>
      </c>
      <c r="B108" s="5">
        <f>'SAP Results'!B108</f>
        <v>7.0437500000000002</v>
      </c>
      <c r="C108" s="5" t="str">
        <f>'SAP Results'!C108</f>
        <v>G-1</v>
      </c>
      <c r="D108" s="5" t="str">
        <f>'SAP Results'!D108</f>
        <v>LinStatic</v>
      </c>
      <c r="E108" s="5">
        <f>'SAP Results'!E108</f>
        <v>0</v>
      </c>
      <c r="F108" s="5">
        <f>'SAP Results'!F108</f>
        <v>-10.212999999999999</v>
      </c>
      <c r="G108" s="5">
        <f>'SAP Results'!G108</f>
        <v>0</v>
      </c>
      <c r="H108" s="5">
        <f>'SAP Results'!H108</f>
        <v>0</v>
      </c>
      <c r="I108" s="5">
        <f>'SAP Results'!I108</f>
        <v>0</v>
      </c>
      <c r="J108" s="5">
        <f>'SAP Results'!J108</f>
        <v>-0.1227</v>
      </c>
      <c r="K108" s="5" t="str">
        <f>'SAP Results'!K108</f>
        <v>5-1</v>
      </c>
      <c r="L108" s="5">
        <f>'SAP Results'!L108</f>
        <v>7.0437500000000002</v>
      </c>
    </row>
    <row r="109" spans="1:12" ht="15.75" hidden="1" customHeight="1">
      <c r="A109" s="6" t="str">
        <f>'SAP Results'!A109</f>
        <v>5</v>
      </c>
      <c r="B109" s="5">
        <f>'SAP Results'!B109</f>
        <v>8.0500000000000007</v>
      </c>
      <c r="C109" s="5" t="str">
        <f>'SAP Results'!C109</f>
        <v>G-1</v>
      </c>
      <c r="D109" s="5" t="str">
        <f>'SAP Results'!D109</f>
        <v>LinStatic</v>
      </c>
      <c r="E109" s="5">
        <f>'SAP Results'!E109</f>
        <v>0</v>
      </c>
      <c r="F109" s="5">
        <f>'SAP Results'!F109</f>
        <v>-10.212999999999999</v>
      </c>
      <c r="G109" s="5">
        <f>'SAP Results'!G109</f>
        <v>0</v>
      </c>
      <c r="H109" s="5">
        <f>'SAP Results'!H109</f>
        <v>0</v>
      </c>
      <c r="I109" s="5">
        <f>'SAP Results'!I109</f>
        <v>0</v>
      </c>
      <c r="J109" s="5">
        <f>'SAP Results'!J109</f>
        <v>10.154299999999999</v>
      </c>
      <c r="K109" s="5" t="str">
        <f>'SAP Results'!K109</f>
        <v>5-1</v>
      </c>
      <c r="L109" s="5">
        <f>'SAP Results'!L109</f>
        <v>8.0500000000000007</v>
      </c>
    </row>
    <row r="110" spans="1:12" ht="15.75" customHeight="1">
      <c r="A110" s="6" t="str">
        <f>'SAP Results'!A110</f>
        <v>5</v>
      </c>
      <c r="B110" s="5">
        <f>'SAP Results'!B110</f>
        <v>0</v>
      </c>
      <c r="C110" s="5" t="str">
        <f>'SAP Results'!C110</f>
        <v>G-2</v>
      </c>
      <c r="D110" s="5" t="str">
        <f>'SAP Results'!D110</f>
        <v>LinStatic</v>
      </c>
      <c r="E110" s="5">
        <f>'SAP Results'!E110</f>
        <v>0</v>
      </c>
      <c r="F110" s="5">
        <f>'SAP Results'!F110</f>
        <v>-168.333</v>
      </c>
      <c r="G110" s="5">
        <f>'SAP Results'!G110</f>
        <v>0</v>
      </c>
      <c r="H110" s="5">
        <f>'SAP Results'!H110</f>
        <v>0</v>
      </c>
      <c r="I110" s="5">
        <f>'SAP Results'!I110</f>
        <v>0</v>
      </c>
      <c r="J110" s="5">
        <f>'SAP Results'!J110</f>
        <v>-187.4752</v>
      </c>
      <c r="K110" s="5" t="str">
        <f>'SAP Results'!K110</f>
        <v>5-1</v>
      </c>
      <c r="L110" s="5">
        <f>'SAP Results'!L110</f>
        <v>0</v>
      </c>
    </row>
    <row r="111" spans="1:12" ht="15.75" customHeight="1">
      <c r="A111" s="6" t="str">
        <f>'SAP Results'!A111</f>
        <v>5</v>
      </c>
      <c r="B111" s="5">
        <f>'SAP Results'!B111</f>
        <v>1.0062500000000001</v>
      </c>
      <c r="C111" s="5" t="str">
        <f>'SAP Results'!C111</f>
        <v>G-2</v>
      </c>
      <c r="D111" s="5" t="str">
        <f>'SAP Results'!D111</f>
        <v>LinStatic</v>
      </c>
      <c r="E111" s="5">
        <f>'SAP Results'!E111</f>
        <v>0</v>
      </c>
      <c r="F111" s="5">
        <f>'SAP Results'!F111</f>
        <v>-128.19300000000001</v>
      </c>
      <c r="G111" s="5">
        <f>'SAP Results'!G111</f>
        <v>0</v>
      </c>
      <c r="H111" s="5">
        <f>'SAP Results'!H111</f>
        <v>0</v>
      </c>
      <c r="I111" s="5">
        <f>'SAP Results'!I111</f>
        <v>0</v>
      </c>
      <c r="J111" s="5">
        <f>'SAP Results'!J111</f>
        <v>-38.285499999999999</v>
      </c>
      <c r="K111" s="5" t="str">
        <f>'SAP Results'!K111</f>
        <v>5-1</v>
      </c>
      <c r="L111" s="5">
        <f>'SAP Results'!L111</f>
        <v>1.0062500000000001</v>
      </c>
    </row>
    <row r="112" spans="1:12" ht="15.75" customHeight="1">
      <c r="A112" s="6" t="str">
        <f>'SAP Results'!A112</f>
        <v>5</v>
      </c>
      <c r="B112" s="5">
        <f>'SAP Results'!B112</f>
        <v>2.0125000000000002</v>
      </c>
      <c r="C112" s="5" t="str">
        <f>'SAP Results'!C112</f>
        <v>G-2</v>
      </c>
      <c r="D112" s="5" t="str">
        <f>'SAP Results'!D112</f>
        <v>LinStatic</v>
      </c>
      <c r="E112" s="5">
        <f>'SAP Results'!E112</f>
        <v>0</v>
      </c>
      <c r="F112" s="5">
        <f>'SAP Results'!F112</f>
        <v>-88.054000000000002</v>
      </c>
      <c r="G112" s="5">
        <f>'SAP Results'!G112</f>
        <v>0</v>
      </c>
      <c r="H112" s="5">
        <f>'SAP Results'!H112</f>
        <v>0</v>
      </c>
      <c r="I112" s="5">
        <f>'SAP Results'!I112</f>
        <v>0</v>
      </c>
      <c r="J112" s="5">
        <f>'SAP Results'!J112</f>
        <v>70.514099999999999</v>
      </c>
      <c r="K112" s="5" t="str">
        <f>'SAP Results'!K112</f>
        <v>5-1</v>
      </c>
      <c r="L112" s="5">
        <f>'SAP Results'!L112</f>
        <v>2.0125000000000002</v>
      </c>
    </row>
    <row r="113" spans="1:12" ht="15.75" customHeight="1">
      <c r="A113" s="6" t="str">
        <f>'SAP Results'!A113</f>
        <v>5</v>
      </c>
      <c r="B113" s="5">
        <f>'SAP Results'!B113</f>
        <v>3.0187499999999998</v>
      </c>
      <c r="C113" s="5" t="str">
        <f>'SAP Results'!C113</f>
        <v>G-2</v>
      </c>
      <c r="D113" s="5" t="str">
        <f>'SAP Results'!D113</f>
        <v>LinStatic</v>
      </c>
      <c r="E113" s="5">
        <f>'SAP Results'!E113</f>
        <v>0</v>
      </c>
      <c r="F113" s="5">
        <f>'SAP Results'!F113</f>
        <v>-47.914999999999999</v>
      </c>
      <c r="G113" s="5">
        <f>'SAP Results'!G113</f>
        <v>0</v>
      </c>
      <c r="H113" s="5">
        <f>'SAP Results'!H113</f>
        <v>0</v>
      </c>
      <c r="I113" s="5">
        <f>'SAP Results'!I113</f>
        <v>0</v>
      </c>
      <c r="J113" s="5">
        <f>'SAP Results'!J113</f>
        <v>138.92349999999999</v>
      </c>
      <c r="K113" s="5" t="str">
        <f>'SAP Results'!K113</f>
        <v>5-1</v>
      </c>
      <c r="L113" s="5">
        <f>'SAP Results'!L113</f>
        <v>3.0187499999999998</v>
      </c>
    </row>
    <row r="114" spans="1:12" ht="15.75" customHeight="1">
      <c r="A114" s="6" t="str">
        <f>'SAP Results'!A114</f>
        <v>5</v>
      </c>
      <c r="B114" s="5">
        <f>'SAP Results'!B114</f>
        <v>4.0250000000000004</v>
      </c>
      <c r="C114" s="5" t="str">
        <f>'SAP Results'!C114</f>
        <v>G-2</v>
      </c>
      <c r="D114" s="5" t="str">
        <f>'SAP Results'!D114</f>
        <v>LinStatic</v>
      </c>
      <c r="E114" s="5">
        <f>'SAP Results'!E114</f>
        <v>0</v>
      </c>
      <c r="F114" s="5">
        <f>'SAP Results'!F114</f>
        <v>-7.7759999999999998</v>
      </c>
      <c r="G114" s="5">
        <f>'SAP Results'!G114</f>
        <v>0</v>
      </c>
      <c r="H114" s="5">
        <f>'SAP Results'!H114</f>
        <v>0</v>
      </c>
      <c r="I114" s="5">
        <f>'SAP Results'!I114</f>
        <v>0</v>
      </c>
      <c r="J114" s="5">
        <f>'SAP Results'!J114</f>
        <v>166.9427</v>
      </c>
      <c r="K114" s="5" t="str">
        <f>'SAP Results'!K114</f>
        <v>5-1</v>
      </c>
      <c r="L114" s="5">
        <f>'SAP Results'!L114</f>
        <v>4.0250000000000004</v>
      </c>
    </row>
    <row r="115" spans="1:12" ht="15.75" customHeight="1">
      <c r="A115" s="6" t="str">
        <f>'SAP Results'!A115</f>
        <v>5</v>
      </c>
      <c r="B115" s="5">
        <f>'SAP Results'!B115</f>
        <v>5.03125</v>
      </c>
      <c r="C115" s="5" t="str">
        <f>'SAP Results'!C115</f>
        <v>G-2</v>
      </c>
      <c r="D115" s="5" t="str">
        <f>'SAP Results'!D115</f>
        <v>LinStatic</v>
      </c>
      <c r="E115" s="5">
        <f>'SAP Results'!E115</f>
        <v>0</v>
      </c>
      <c r="F115" s="5">
        <f>'SAP Results'!F115</f>
        <v>32.363999999999997</v>
      </c>
      <c r="G115" s="5">
        <f>'SAP Results'!G115</f>
        <v>0</v>
      </c>
      <c r="H115" s="5">
        <f>'SAP Results'!H115</f>
        <v>0</v>
      </c>
      <c r="I115" s="5">
        <f>'SAP Results'!I115</f>
        <v>0</v>
      </c>
      <c r="J115" s="5">
        <f>'SAP Results'!J115</f>
        <v>154.5718</v>
      </c>
      <c r="K115" s="5" t="str">
        <f>'SAP Results'!K115</f>
        <v>5-1</v>
      </c>
      <c r="L115" s="5">
        <f>'SAP Results'!L115</f>
        <v>5.03125</v>
      </c>
    </row>
    <row r="116" spans="1:12" ht="15.75" customHeight="1">
      <c r="A116" s="6" t="str">
        <f>'SAP Results'!A116</f>
        <v>5</v>
      </c>
      <c r="B116" s="5">
        <f>'SAP Results'!B116</f>
        <v>6.0374999999999996</v>
      </c>
      <c r="C116" s="5" t="str">
        <f>'SAP Results'!C116</f>
        <v>G-2</v>
      </c>
      <c r="D116" s="5" t="str">
        <f>'SAP Results'!D116</f>
        <v>LinStatic</v>
      </c>
      <c r="E116" s="5">
        <f>'SAP Results'!E116</f>
        <v>0</v>
      </c>
      <c r="F116" s="5">
        <f>'SAP Results'!F116</f>
        <v>72.503</v>
      </c>
      <c r="G116" s="5">
        <f>'SAP Results'!G116</f>
        <v>0</v>
      </c>
      <c r="H116" s="5">
        <f>'SAP Results'!H116</f>
        <v>0</v>
      </c>
      <c r="I116" s="5">
        <f>'SAP Results'!I116</f>
        <v>0</v>
      </c>
      <c r="J116" s="5">
        <f>'SAP Results'!J116</f>
        <v>101.81059999999999</v>
      </c>
      <c r="K116" s="5" t="str">
        <f>'SAP Results'!K116</f>
        <v>5-1</v>
      </c>
      <c r="L116" s="5">
        <f>'SAP Results'!L116</f>
        <v>6.0374999999999996</v>
      </c>
    </row>
    <row r="117" spans="1:12" ht="15.75" customHeight="1">
      <c r="A117" s="6" t="str">
        <f>'SAP Results'!A117</f>
        <v>5</v>
      </c>
      <c r="B117" s="5">
        <f>'SAP Results'!B117</f>
        <v>7.0437500000000002</v>
      </c>
      <c r="C117" s="5" t="str">
        <f>'SAP Results'!C117</f>
        <v>G-2</v>
      </c>
      <c r="D117" s="5" t="str">
        <f>'SAP Results'!D117</f>
        <v>LinStatic</v>
      </c>
      <c r="E117" s="5">
        <f>'SAP Results'!E117</f>
        <v>0</v>
      </c>
      <c r="F117" s="5">
        <f>'SAP Results'!F117</f>
        <v>112.642</v>
      </c>
      <c r="G117" s="5">
        <f>'SAP Results'!G117</f>
        <v>0</v>
      </c>
      <c r="H117" s="5">
        <f>'SAP Results'!H117</f>
        <v>0</v>
      </c>
      <c r="I117" s="5">
        <f>'SAP Results'!I117</f>
        <v>0</v>
      </c>
      <c r="J117" s="5">
        <f>'SAP Results'!J117</f>
        <v>8.6593</v>
      </c>
      <c r="K117" s="5" t="str">
        <f>'SAP Results'!K117</f>
        <v>5-1</v>
      </c>
      <c r="L117" s="5">
        <f>'SAP Results'!L117</f>
        <v>7.0437500000000002</v>
      </c>
    </row>
    <row r="118" spans="1:12" ht="15.75" customHeight="1">
      <c r="A118" s="6" t="str">
        <f>'SAP Results'!A118</f>
        <v>5</v>
      </c>
      <c r="B118" s="5">
        <f>'SAP Results'!B118</f>
        <v>8.0500000000000007</v>
      </c>
      <c r="C118" s="5" t="str">
        <f>'SAP Results'!C118</f>
        <v>G-2</v>
      </c>
      <c r="D118" s="5" t="str">
        <f>'SAP Results'!D118</f>
        <v>LinStatic</v>
      </c>
      <c r="E118" s="5">
        <f>'SAP Results'!E118</f>
        <v>0</v>
      </c>
      <c r="F118" s="5">
        <f>'SAP Results'!F118</f>
        <v>152.78200000000001</v>
      </c>
      <c r="G118" s="5">
        <f>'SAP Results'!G118</f>
        <v>0</v>
      </c>
      <c r="H118" s="5">
        <f>'SAP Results'!H118</f>
        <v>0</v>
      </c>
      <c r="I118" s="5">
        <f>'SAP Results'!I118</f>
        <v>0</v>
      </c>
      <c r="J118" s="5">
        <f>'SAP Results'!J118</f>
        <v>-124.8822</v>
      </c>
      <c r="K118" s="5" t="str">
        <f>'SAP Results'!K118</f>
        <v>5-1</v>
      </c>
      <c r="L118" s="5">
        <f>'SAP Results'!L118</f>
        <v>8.0500000000000007</v>
      </c>
    </row>
    <row r="119" spans="1:12" ht="15.75" hidden="1" customHeight="1">
      <c r="A119" s="6" t="str">
        <f>'SAP Results'!A119</f>
        <v>5</v>
      </c>
      <c r="B119" s="5">
        <f>'SAP Results'!B119</f>
        <v>0</v>
      </c>
      <c r="C119" s="5" t="str">
        <f>'SAP Results'!C119</f>
        <v>Q-1</v>
      </c>
      <c r="D119" s="5" t="str">
        <f>'SAP Results'!D119</f>
        <v>LinStatic</v>
      </c>
      <c r="E119" s="5">
        <f>'SAP Results'!E119</f>
        <v>0</v>
      </c>
      <c r="F119" s="5">
        <f>'SAP Results'!F119</f>
        <v>-5.1529999999999996</v>
      </c>
      <c r="G119" s="5">
        <f>'SAP Results'!G119</f>
        <v>0</v>
      </c>
      <c r="H119" s="5">
        <f>'SAP Results'!H119</f>
        <v>0</v>
      </c>
      <c r="I119" s="5">
        <f>'SAP Results'!I119</f>
        <v>0</v>
      </c>
      <c r="J119" s="5">
        <f>'SAP Results'!J119</f>
        <v>-36.356200000000001</v>
      </c>
      <c r="K119" s="5" t="str">
        <f>'SAP Results'!K119</f>
        <v>5-1</v>
      </c>
      <c r="L119" s="5">
        <f>'SAP Results'!L119</f>
        <v>0</v>
      </c>
    </row>
    <row r="120" spans="1:12" ht="15.75" hidden="1" customHeight="1">
      <c r="A120" s="6" t="str">
        <f>'SAP Results'!A120</f>
        <v>5</v>
      </c>
      <c r="B120" s="5">
        <f>'SAP Results'!B120</f>
        <v>1.0062500000000001</v>
      </c>
      <c r="C120" s="5" t="str">
        <f>'SAP Results'!C120</f>
        <v>Q-1</v>
      </c>
      <c r="D120" s="5" t="str">
        <f>'SAP Results'!D120</f>
        <v>LinStatic</v>
      </c>
      <c r="E120" s="5">
        <f>'SAP Results'!E120</f>
        <v>0</v>
      </c>
      <c r="F120" s="5">
        <f>'SAP Results'!F120</f>
        <v>-5.1529999999999996</v>
      </c>
      <c r="G120" s="5">
        <f>'SAP Results'!G120</f>
        <v>0</v>
      </c>
      <c r="H120" s="5">
        <f>'SAP Results'!H120</f>
        <v>0</v>
      </c>
      <c r="I120" s="5">
        <f>'SAP Results'!I120</f>
        <v>0</v>
      </c>
      <c r="J120" s="5">
        <f>'SAP Results'!J120</f>
        <v>-31.171299999999999</v>
      </c>
      <c r="K120" s="5" t="str">
        <f>'SAP Results'!K120</f>
        <v>5-1</v>
      </c>
      <c r="L120" s="5">
        <f>'SAP Results'!L120</f>
        <v>1.0062500000000001</v>
      </c>
    </row>
    <row r="121" spans="1:12" ht="15.75" hidden="1" customHeight="1">
      <c r="A121" s="6" t="str">
        <f>'SAP Results'!A121</f>
        <v>5</v>
      </c>
      <c r="B121" s="5">
        <f>'SAP Results'!B121</f>
        <v>2.0125000000000002</v>
      </c>
      <c r="C121" s="5" t="str">
        <f>'SAP Results'!C121</f>
        <v>Q-1</v>
      </c>
      <c r="D121" s="5" t="str">
        <f>'SAP Results'!D121</f>
        <v>LinStatic</v>
      </c>
      <c r="E121" s="5">
        <f>'SAP Results'!E121</f>
        <v>0</v>
      </c>
      <c r="F121" s="5">
        <f>'SAP Results'!F121</f>
        <v>-5.1529999999999996</v>
      </c>
      <c r="G121" s="5">
        <f>'SAP Results'!G121</f>
        <v>0</v>
      </c>
      <c r="H121" s="5">
        <f>'SAP Results'!H121</f>
        <v>0</v>
      </c>
      <c r="I121" s="5">
        <f>'SAP Results'!I121</f>
        <v>0</v>
      </c>
      <c r="J121" s="5">
        <f>'SAP Results'!J121</f>
        <v>-25.9864</v>
      </c>
      <c r="K121" s="5" t="str">
        <f>'SAP Results'!K121</f>
        <v>5-1</v>
      </c>
      <c r="L121" s="5">
        <f>'SAP Results'!L121</f>
        <v>2.0125000000000002</v>
      </c>
    </row>
    <row r="122" spans="1:12" ht="15.75" hidden="1" customHeight="1">
      <c r="A122" s="6" t="str">
        <f>'SAP Results'!A122</f>
        <v>5</v>
      </c>
      <c r="B122" s="5">
        <f>'SAP Results'!B122</f>
        <v>3.0187499999999998</v>
      </c>
      <c r="C122" s="5" t="str">
        <f>'SAP Results'!C122</f>
        <v>Q-1</v>
      </c>
      <c r="D122" s="5" t="str">
        <f>'SAP Results'!D122</f>
        <v>LinStatic</v>
      </c>
      <c r="E122" s="5">
        <f>'SAP Results'!E122</f>
        <v>0</v>
      </c>
      <c r="F122" s="5">
        <f>'SAP Results'!F122</f>
        <v>-5.1529999999999996</v>
      </c>
      <c r="G122" s="5">
        <f>'SAP Results'!G122</f>
        <v>0</v>
      </c>
      <c r="H122" s="5">
        <f>'SAP Results'!H122</f>
        <v>0</v>
      </c>
      <c r="I122" s="5">
        <f>'SAP Results'!I122</f>
        <v>0</v>
      </c>
      <c r="J122" s="5">
        <f>'SAP Results'!J122</f>
        <v>-20.801500000000001</v>
      </c>
      <c r="K122" s="5" t="str">
        <f>'SAP Results'!K122</f>
        <v>5-1</v>
      </c>
      <c r="L122" s="5">
        <f>'SAP Results'!L122</f>
        <v>3.0187499999999998</v>
      </c>
    </row>
    <row r="123" spans="1:12" ht="15.75" hidden="1" customHeight="1">
      <c r="A123" s="6" t="str">
        <f>'SAP Results'!A123</f>
        <v>5</v>
      </c>
      <c r="B123" s="5">
        <f>'SAP Results'!B123</f>
        <v>4.0250000000000004</v>
      </c>
      <c r="C123" s="5" t="str">
        <f>'SAP Results'!C123</f>
        <v>Q-1</v>
      </c>
      <c r="D123" s="5" t="str">
        <f>'SAP Results'!D123</f>
        <v>LinStatic</v>
      </c>
      <c r="E123" s="5">
        <f>'SAP Results'!E123</f>
        <v>0</v>
      </c>
      <c r="F123" s="5">
        <f>'SAP Results'!F123</f>
        <v>-5.1529999999999996</v>
      </c>
      <c r="G123" s="5">
        <f>'SAP Results'!G123</f>
        <v>0</v>
      </c>
      <c r="H123" s="5">
        <f>'SAP Results'!H123</f>
        <v>0</v>
      </c>
      <c r="I123" s="5">
        <f>'SAP Results'!I123</f>
        <v>0</v>
      </c>
      <c r="J123" s="5">
        <f>'SAP Results'!J123</f>
        <v>-15.6166</v>
      </c>
      <c r="K123" s="5" t="str">
        <f>'SAP Results'!K123</f>
        <v>5-1</v>
      </c>
      <c r="L123" s="5">
        <f>'SAP Results'!L123</f>
        <v>4.0250000000000004</v>
      </c>
    </row>
    <row r="124" spans="1:12" ht="15.75" hidden="1" customHeight="1">
      <c r="A124" s="6" t="str">
        <f>'SAP Results'!A124</f>
        <v>5</v>
      </c>
      <c r="B124" s="5">
        <f>'SAP Results'!B124</f>
        <v>5.03125</v>
      </c>
      <c r="C124" s="5" t="str">
        <f>'SAP Results'!C124</f>
        <v>Q-1</v>
      </c>
      <c r="D124" s="5" t="str">
        <f>'SAP Results'!D124</f>
        <v>LinStatic</v>
      </c>
      <c r="E124" s="5">
        <f>'SAP Results'!E124</f>
        <v>0</v>
      </c>
      <c r="F124" s="5">
        <f>'SAP Results'!F124</f>
        <v>-5.1529999999999996</v>
      </c>
      <c r="G124" s="5">
        <f>'SAP Results'!G124</f>
        <v>0</v>
      </c>
      <c r="H124" s="5">
        <f>'SAP Results'!H124</f>
        <v>0</v>
      </c>
      <c r="I124" s="5">
        <f>'SAP Results'!I124</f>
        <v>0</v>
      </c>
      <c r="J124" s="5">
        <f>'SAP Results'!J124</f>
        <v>-10.431699999999999</v>
      </c>
      <c r="K124" s="5" t="str">
        <f>'SAP Results'!K124</f>
        <v>5-1</v>
      </c>
      <c r="L124" s="5">
        <f>'SAP Results'!L124</f>
        <v>5.03125</v>
      </c>
    </row>
    <row r="125" spans="1:12" ht="15.75" hidden="1" customHeight="1">
      <c r="A125" s="6" t="str">
        <f>'SAP Results'!A125</f>
        <v>5</v>
      </c>
      <c r="B125" s="5">
        <f>'SAP Results'!B125</f>
        <v>6.0374999999999996</v>
      </c>
      <c r="C125" s="5" t="str">
        <f>'SAP Results'!C125</f>
        <v>Q-1</v>
      </c>
      <c r="D125" s="5" t="str">
        <f>'SAP Results'!D125</f>
        <v>LinStatic</v>
      </c>
      <c r="E125" s="5">
        <f>'SAP Results'!E125</f>
        <v>0</v>
      </c>
      <c r="F125" s="5">
        <f>'SAP Results'!F125</f>
        <v>-5.1529999999999996</v>
      </c>
      <c r="G125" s="5">
        <f>'SAP Results'!G125</f>
        <v>0</v>
      </c>
      <c r="H125" s="5">
        <f>'SAP Results'!H125</f>
        <v>0</v>
      </c>
      <c r="I125" s="5">
        <f>'SAP Results'!I125</f>
        <v>0</v>
      </c>
      <c r="J125" s="5">
        <f>'SAP Results'!J125</f>
        <v>-5.2468000000000004</v>
      </c>
      <c r="K125" s="5" t="str">
        <f>'SAP Results'!K125</f>
        <v>5-1</v>
      </c>
      <c r="L125" s="5">
        <f>'SAP Results'!L125</f>
        <v>6.0374999999999996</v>
      </c>
    </row>
    <row r="126" spans="1:12" ht="15.75" hidden="1" customHeight="1">
      <c r="A126" s="6" t="str">
        <f>'SAP Results'!A126</f>
        <v>5</v>
      </c>
      <c r="B126" s="5">
        <f>'SAP Results'!B126</f>
        <v>7.0437500000000002</v>
      </c>
      <c r="C126" s="5" t="str">
        <f>'SAP Results'!C126</f>
        <v>Q-1</v>
      </c>
      <c r="D126" s="5" t="str">
        <f>'SAP Results'!D126</f>
        <v>LinStatic</v>
      </c>
      <c r="E126" s="5">
        <f>'SAP Results'!E126</f>
        <v>0</v>
      </c>
      <c r="F126" s="5">
        <f>'SAP Results'!F126</f>
        <v>-5.1529999999999996</v>
      </c>
      <c r="G126" s="5">
        <f>'SAP Results'!G126</f>
        <v>0</v>
      </c>
      <c r="H126" s="5">
        <f>'SAP Results'!H126</f>
        <v>0</v>
      </c>
      <c r="I126" s="5">
        <f>'SAP Results'!I126</f>
        <v>0</v>
      </c>
      <c r="J126" s="5">
        <f>'SAP Results'!J126</f>
        <v>-6.1899999999999997E-2</v>
      </c>
      <c r="K126" s="5" t="str">
        <f>'SAP Results'!K126</f>
        <v>5-1</v>
      </c>
      <c r="L126" s="5">
        <f>'SAP Results'!L126</f>
        <v>7.0437500000000002</v>
      </c>
    </row>
    <row r="127" spans="1:12" ht="15.75" hidden="1" customHeight="1">
      <c r="A127" s="6" t="str">
        <f>'SAP Results'!A127</f>
        <v>5</v>
      </c>
      <c r="B127" s="5">
        <f>'SAP Results'!B127</f>
        <v>8.0500000000000007</v>
      </c>
      <c r="C127" s="5" t="str">
        <f>'SAP Results'!C127</f>
        <v>Q-1</v>
      </c>
      <c r="D127" s="5" t="str">
        <f>'SAP Results'!D127</f>
        <v>LinStatic</v>
      </c>
      <c r="E127" s="5">
        <f>'SAP Results'!E127</f>
        <v>0</v>
      </c>
      <c r="F127" s="5">
        <f>'SAP Results'!F127</f>
        <v>-5.1529999999999996</v>
      </c>
      <c r="G127" s="5">
        <f>'SAP Results'!G127</f>
        <v>0</v>
      </c>
      <c r="H127" s="5">
        <f>'SAP Results'!H127</f>
        <v>0</v>
      </c>
      <c r="I127" s="5">
        <f>'SAP Results'!I127</f>
        <v>0</v>
      </c>
      <c r="J127" s="5">
        <f>'SAP Results'!J127</f>
        <v>5.1230000000000002</v>
      </c>
      <c r="K127" s="5" t="str">
        <f>'SAP Results'!K127</f>
        <v>5-1</v>
      </c>
      <c r="L127" s="5">
        <f>'SAP Results'!L127</f>
        <v>8.0500000000000007</v>
      </c>
    </row>
    <row r="128" spans="1:12" ht="15.75" hidden="1" customHeight="1">
      <c r="A128" s="6" t="str">
        <f>'SAP Results'!A128</f>
        <v>5</v>
      </c>
      <c r="B128" s="5">
        <f>'SAP Results'!B128</f>
        <v>0</v>
      </c>
      <c r="C128" s="5" t="str">
        <f>'SAP Results'!C128</f>
        <v>Q-2</v>
      </c>
      <c r="D128" s="5" t="str">
        <f>'SAP Results'!D128</f>
        <v>LinStatic</v>
      </c>
      <c r="E128" s="5">
        <f>'SAP Results'!E128</f>
        <v>0</v>
      </c>
      <c r="F128" s="5">
        <f>'SAP Results'!F128</f>
        <v>-84.926000000000002</v>
      </c>
      <c r="G128" s="5">
        <f>'SAP Results'!G128</f>
        <v>0</v>
      </c>
      <c r="H128" s="5">
        <f>'SAP Results'!H128</f>
        <v>0</v>
      </c>
      <c r="I128" s="5">
        <f>'SAP Results'!I128</f>
        <v>0</v>
      </c>
      <c r="J128" s="5">
        <f>'SAP Results'!J128</f>
        <v>-94.583600000000004</v>
      </c>
      <c r="K128" s="5" t="str">
        <f>'SAP Results'!K128</f>
        <v>5-1</v>
      </c>
      <c r="L128" s="5">
        <f>'SAP Results'!L128</f>
        <v>0</v>
      </c>
    </row>
    <row r="129" spans="1:12" ht="15.75" hidden="1" customHeight="1">
      <c r="A129" s="6" t="str">
        <f>'SAP Results'!A129</f>
        <v>5</v>
      </c>
      <c r="B129" s="5">
        <f>'SAP Results'!B129</f>
        <v>1.0062500000000001</v>
      </c>
      <c r="C129" s="5" t="str">
        <f>'SAP Results'!C129</f>
        <v>Q-2</v>
      </c>
      <c r="D129" s="5" t="str">
        <f>'SAP Results'!D129</f>
        <v>LinStatic</v>
      </c>
      <c r="E129" s="5">
        <f>'SAP Results'!E129</f>
        <v>0</v>
      </c>
      <c r="F129" s="5">
        <f>'SAP Results'!F129</f>
        <v>-64.674999999999997</v>
      </c>
      <c r="G129" s="5">
        <f>'SAP Results'!G129</f>
        <v>0</v>
      </c>
      <c r="H129" s="5">
        <f>'SAP Results'!H129</f>
        <v>0</v>
      </c>
      <c r="I129" s="5">
        <f>'SAP Results'!I129</f>
        <v>0</v>
      </c>
      <c r="J129" s="5">
        <f>'SAP Results'!J129</f>
        <v>-19.3155</v>
      </c>
      <c r="K129" s="5" t="str">
        <f>'SAP Results'!K129</f>
        <v>5-1</v>
      </c>
      <c r="L129" s="5">
        <f>'SAP Results'!L129</f>
        <v>1.0062500000000001</v>
      </c>
    </row>
    <row r="130" spans="1:12" ht="15.75" hidden="1" customHeight="1">
      <c r="A130" s="6" t="str">
        <f>'SAP Results'!A130</f>
        <v>5</v>
      </c>
      <c r="B130" s="5">
        <f>'SAP Results'!B130</f>
        <v>2.0125000000000002</v>
      </c>
      <c r="C130" s="5" t="str">
        <f>'SAP Results'!C130</f>
        <v>Q-2</v>
      </c>
      <c r="D130" s="5" t="str">
        <f>'SAP Results'!D130</f>
        <v>LinStatic</v>
      </c>
      <c r="E130" s="5">
        <f>'SAP Results'!E130</f>
        <v>0</v>
      </c>
      <c r="F130" s="5">
        <f>'SAP Results'!F130</f>
        <v>-44.423999999999999</v>
      </c>
      <c r="G130" s="5">
        <f>'SAP Results'!G130</f>
        <v>0</v>
      </c>
      <c r="H130" s="5">
        <f>'SAP Results'!H130</f>
        <v>0</v>
      </c>
      <c r="I130" s="5">
        <f>'SAP Results'!I130</f>
        <v>0</v>
      </c>
      <c r="J130" s="5">
        <f>'SAP Results'!J130</f>
        <v>35.575299999999999</v>
      </c>
      <c r="K130" s="5" t="str">
        <f>'SAP Results'!K130</f>
        <v>5-1</v>
      </c>
      <c r="L130" s="5">
        <f>'SAP Results'!L130</f>
        <v>2.0125000000000002</v>
      </c>
    </row>
    <row r="131" spans="1:12" ht="15.75" hidden="1" customHeight="1">
      <c r="A131" s="6" t="str">
        <f>'SAP Results'!A131</f>
        <v>5</v>
      </c>
      <c r="B131" s="5">
        <f>'SAP Results'!B131</f>
        <v>3.0187499999999998</v>
      </c>
      <c r="C131" s="5" t="str">
        <f>'SAP Results'!C131</f>
        <v>Q-2</v>
      </c>
      <c r="D131" s="5" t="str">
        <f>'SAP Results'!D131</f>
        <v>LinStatic</v>
      </c>
      <c r="E131" s="5">
        <f>'SAP Results'!E131</f>
        <v>0</v>
      </c>
      <c r="F131" s="5">
        <f>'SAP Results'!F131</f>
        <v>-24.173999999999999</v>
      </c>
      <c r="G131" s="5">
        <f>'SAP Results'!G131</f>
        <v>0</v>
      </c>
      <c r="H131" s="5">
        <f>'SAP Results'!H131</f>
        <v>0</v>
      </c>
      <c r="I131" s="5">
        <f>'SAP Results'!I131</f>
        <v>0</v>
      </c>
      <c r="J131" s="5">
        <f>'SAP Results'!J131</f>
        <v>70.0886</v>
      </c>
      <c r="K131" s="5" t="str">
        <f>'SAP Results'!K131</f>
        <v>5-1</v>
      </c>
      <c r="L131" s="5">
        <f>'SAP Results'!L131</f>
        <v>3.0187499999999998</v>
      </c>
    </row>
    <row r="132" spans="1:12" ht="15.75" hidden="1" customHeight="1">
      <c r="A132" s="6" t="str">
        <f>'SAP Results'!A132</f>
        <v>5</v>
      </c>
      <c r="B132" s="5">
        <f>'SAP Results'!B132</f>
        <v>4.0250000000000004</v>
      </c>
      <c r="C132" s="5" t="str">
        <f>'SAP Results'!C132</f>
        <v>Q-2</v>
      </c>
      <c r="D132" s="5" t="str">
        <f>'SAP Results'!D132</f>
        <v>LinStatic</v>
      </c>
      <c r="E132" s="5">
        <f>'SAP Results'!E132</f>
        <v>0</v>
      </c>
      <c r="F132" s="5">
        <f>'SAP Results'!F132</f>
        <v>-3.923</v>
      </c>
      <c r="G132" s="5">
        <f>'SAP Results'!G132</f>
        <v>0</v>
      </c>
      <c r="H132" s="5">
        <f>'SAP Results'!H132</f>
        <v>0</v>
      </c>
      <c r="I132" s="5">
        <f>'SAP Results'!I132</f>
        <v>0</v>
      </c>
      <c r="J132" s="5">
        <f>'SAP Results'!J132</f>
        <v>84.224699999999999</v>
      </c>
      <c r="K132" s="5" t="str">
        <f>'SAP Results'!K132</f>
        <v>5-1</v>
      </c>
      <c r="L132" s="5">
        <f>'SAP Results'!L132</f>
        <v>4.0250000000000004</v>
      </c>
    </row>
    <row r="133" spans="1:12" ht="15.75" hidden="1" customHeight="1">
      <c r="A133" s="6" t="str">
        <f>'SAP Results'!A133</f>
        <v>5</v>
      </c>
      <c r="B133" s="5">
        <f>'SAP Results'!B133</f>
        <v>5.03125</v>
      </c>
      <c r="C133" s="5" t="str">
        <f>'SAP Results'!C133</f>
        <v>Q-2</v>
      </c>
      <c r="D133" s="5" t="str">
        <f>'SAP Results'!D133</f>
        <v>LinStatic</v>
      </c>
      <c r="E133" s="5">
        <f>'SAP Results'!E133</f>
        <v>0</v>
      </c>
      <c r="F133" s="5">
        <f>'SAP Results'!F133</f>
        <v>16.327999999999999</v>
      </c>
      <c r="G133" s="5">
        <f>'SAP Results'!G133</f>
        <v>0</v>
      </c>
      <c r="H133" s="5">
        <f>'SAP Results'!H133</f>
        <v>0</v>
      </c>
      <c r="I133" s="5">
        <f>'SAP Results'!I133</f>
        <v>0</v>
      </c>
      <c r="J133" s="5">
        <f>'SAP Results'!J133</f>
        <v>77.983400000000003</v>
      </c>
      <c r="K133" s="5" t="str">
        <f>'SAP Results'!K133</f>
        <v>5-1</v>
      </c>
      <c r="L133" s="5">
        <f>'SAP Results'!L133</f>
        <v>5.03125</v>
      </c>
    </row>
    <row r="134" spans="1:12" ht="15.75" hidden="1" customHeight="1">
      <c r="A134" s="6" t="str">
        <f>'SAP Results'!A134</f>
        <v>5</v>
      </c>
      <c r="B134" s="5">
        <f>'SAP Results'!B134</f>
        <v>6.0374999999999996</v>
      </c>
      <c r="C134" s="5" t="str">
        <f>'SAP Results'!C134</f>
        <v>Q-2</v>
      </c>
      <c r="D134" s="5" t="str">
        <f>'SAP Results'!D134</f>
        <v>LinStatic</v>
      </c>
      <c r="E134" s="5">
        <f>'SAP Results'!E134</f>
        <v>0</v>
      </c>
      <c r="F134" s="5">
        <f>'SAP Results'!F134</f>
        <v>36.579000000000001</v>
      </c>
      <c r="G134" s="5">
        <f>'SAP Results'!G134</f>
        <v>0</v>
      </c>
      <c r="H134" s="5">
        <f>'SAP Results'!H134</f>
        <v>0</v>
      </c>
      <c r="I134" s="5">
        <f>'SAP Results'!I134</f>
        <v>0</v>
      </c>
      <c r="J134" s="5">
        <f>'SAP Results'!J134</f>
        <v>51.364699999999999</v>
      </c>
      <c r="K134" s="5" t="str">
        <f>'SAP Results'!K134</f>
        <v>5-1</v>
      </c>
      <c r="L134" s="5">
        <f>'SAP Results'!L134</f>
        <v>6.0374999999999996</v>
      </c>
    </row>
    <row r="135" spans="1:12" ht="15.75" hidden="1" customHeight="1">
      <c r="A135" s="6" t="str">
        <f>'SAP Results'!A135</f>
        <v>5</v>
      </c>
      <c r="B135" s="5">
        <f>'SAP Results'!B135</f>
        <v>7.0437500000000002</v>
      </c>
      <c r="C135" s="5" t="str">
        <f>'SAP Results'!C135</f>
        <v>Q-2</v>
      </c>
      <c r="D135" s="5" t="str">
        <f>'SAP Results'!D135</f>
        <v>LinStatic</v>
      </c>
      <c r="E135" s="5">
        <f>'SAP Results'!E135</f>
        <v>0</v>
      </c>
      <c r="F135" s="5">
        <f>'SAP Results'!F135</f>
        <v>56.829000000000001</v>
      </c>
      <c r="G135" s="5">
        <f>'SAP Results'!G135</f>
        <v>0</v>
      </c>
      <c r="H135" s="5">
        <f>'SAP Results'!H135</f>
        <v>0</v>
      </c>
      <c r="I135" s="5">
        <f>'SAP Results'!I135</f>
        <v>0</v>
      </c>
      <c r="J135" s="5">
        <f>'SAP Results'!J135</f>
        <v>4.3686999999999996</v>
      </c>
      <c r="K135" s="5" t="str">
        <f>'SAP Results'!K135</f>
        <v>5-1</v>
      </c>
      <c r="L135" s="5">
        <f>'SAP Results'!L135</f>
        <v>7.0437500000000002</v>
      </c>
    </row>
    <row r="136" spans="1:12" ht="15.75" hidden="1" customHeight="1">
      <c r="A136" s="6" t="str">
        <f>'SAP Results'!A136</f>
        <v>5</v>
      </c>
      <c r="B136" s="5">
        <f>'SAP Results'!B136</f>
        <v>8.0500000000000007</v>
      </c>
      <c r="C136" s="5" t="str">
        <f>'SAP Results'!C136</f>
        <v>Q-2</v>
      </c>
      <c r="D136" s="5" t="str">
        <f>'SAP Results'!D136</f>
        <v>LinStatic</v>
      </c>
      <c r="E136" s="5">
        <f>'SAP Results'!E136</f>
        <v>0</v>
      </c>
      <c r="F136" s="5">
        <f>'SAP Results'!F136</f>
        <v>77.08</v>
      </c>
      <c r="G136" s="5">
        <f>'SAP Results'!G136</f>
        <v>0</v>
      </c>
      <c r="H136" s="5">
        <f>'SAP Results'!H136</f>
        <v>0</v>
      </c>
      <c r="I136" s="5">
        <f>'SAP Results'!I136</f>
        <v>0</v>
      </c>
      <c r="J136" s="5">
        <f>'SAP Results'!J136</f>
        <v>-63.004600000000003</v>
      </c>
      <c r="K136" s="5" t="str">
        <f>'SAP Results'!K136</f>
        <v>5-1</v>
      </c>
      <c r="L136" s="5">
        <f>'SAP Results'!L136</f>
        <v>8.0500000000000007</v>
      </c>
    </row>
    <row r="137" spans="1:12" ht="15.75" customHeight="1"/>
    <row r="138" spans="1:12" ht="15.75" customHeight="1"/>
    <row r="139" spans="1:12" ht="15.75" customHeight="1"/>
    <row r="140" spans="1:12" ht="15.75" customHeight="1"/>
    <row r="141" spans="1:12" ht="15.75" customHeight="1"/>
    <row r="142" spans="1:12" ht="15.75" customHeight="1"/>
    <row r="143" spans="1:12" ht="15.75" customHeight="1"/>
    <row r="144" spans="1:12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L136" xr:uid="{00000000-0009-0000-0000-000002000000}">
    <filterColumn colId="2">
      <filters>
        <filter val="G-2"/>
      </filters>
    </filterColumn>
  </autoFilter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L1000"/>
  <sheetViews>
    <sheetView workbookViewId="0"/>
  </sheetViews>
  <sheetFormatPr defaultColWidth="14.42578125" defaultRowHeight="15" customHeight="1"/>
  <cols>
    <col min="1" max="1" width="8.7109375" customWidth="1"/>
    <col min="2" max="12" width="9.140625" style="5" customWidth="1"/>
    <col min="13" max="26" width="8.7109375" customWidth="1"/>
  </cols>
  <sheetData>
    <row r="1" spans="1:12">
      <c r="A1" s="4" t="str">
        <f>'SAP Results'!A1</f>
        <v>Frame</v>
      </c>
      <c r="B1" s="5" t="str">
        <f>'SAP Results'!B1</f>
        <v>Station</v>
      </c>
      <c r="C1" s="5" t="str">
        <f>'SAP Results'!C1</f>
        <v>OutputCase</v>
      </c>
      <c r="D1" s="5" t="str">
        <f>'SAP Results'!D1</f>
        <v>CaseType</v>
      </c>
      <c r="E1" s="5" t="str">
        <f>'SAP Results'!E1</f>
        <v>P</v>
      </c>
      <c r="F1" s="5" t="str">
        <f>'SAP Results'!F1</f>
        <v>V2</v>
      </c>
      <c r="G1" s="5" t="str">
        <f>'SAP Results'!G1</f>
        <v>V3</v>
      </c>
      <c r="H1" s="5" t="str">
        <f>'SAP Results'!H1</f>
        <v>T</v>
      </c>
      <c r="I1" s="5" t="str">
        <f>'SAP Results'!I1</f>
        <v>M2</v>
      </c>
      <c r="J1" s="5" t="str">
        <f>'SAP Results'!J1</f>
        <v>M3</v>
      </c>
      <c r="K1" s="5" t="str">
        <f>'SAP Results'!K1</f>
        <v>FrameElem</v>
      </c>
      <c r="L1" s="5" t="str">
        <f>'SAP Results'!L1</f>
        <v>ElemStation</v>
      </c>
    </row>
    <row r="2" spans="1:12" hidden="1">
      <c r="A2" s="6" t="str">
        <f>'SAP Results'!A2</f>
        <v>1</v>
      </c>
      <c r="B2" s="5">
        <f>'SAP Results'!B2</f>
        <v>0</v>
      </c>
      <c r="C2" s="5" t="str">
        <f>'SAP Results'!C2</f>
        <v>EX</v>
      </c>
      <c r="D2" s="5" t="str">
        <f>'SAP Results'!D2</f>
        <v>LinStatic</v>
      </c>
      <c r="E2" s="5">
        <f>'SAP Results'!E2</f>
        <v>18.693999999999999</v>
      </c>
      <c r="F2" s="5">
        <f>'SAP Results'!F2</f>
        <v>40.723999999999997</v>
      </c>
      <c r="G2" s="5">
        <f>'SAP Results'!G2</f>
        <v>0</v>
      </c>
      <c r="H2" s="5">
        <f>'SAP Results'!H2</f>
        <v>0</v>
      </c>
      <c r="I2" s="5">
        <f>'SAP Results'!I2</f>
        <v>0</v>
      </c>
      <c r="J2" s="5">
        <f>'SAP Results'!J2</f>
        <v>125.8599</v>
      </c>
      <c r="K2" s="5" t="str">
        <f>'SAP Results'!K2</f>
        <v>1-1</v>
      </c>
      <c r="L2" s="5">
        <f>'SAP Results'!L2</f>
        <v>0</v>
      </c>
    </row>
    <row r="3" spans="1:12" hidden="1">
      <c r="A3" s="6" t="str">
        <f>'SAP Results'!A3</f>
        <v>1</v>
      </c>
      <c r="B3" s="5">
        <f>'SAP Results'!B3</f>
        <v>2.6</v>
      </c>
      <c r="C3" s="5" t="str">
        <f>'SAP Results'!C3</f>
        <v>EX</v>
      </c>
      <c r="D3" s="5" t="str">
        <f>'SAP Results'!D3</f>
        <v>LinStatic</v>
      </c>
      <c r="E3" s="5">
        <f>'SAP Results'!E3</f>
        <v>18.693999999999999</v>
      </c>
      <c r="F3" s="5">
        <f>'SAP Results'!F3</f>
        <v>40.723999999999997</v>
      </c>
      <c r="G3" s="5">
        <f>'SAP Results'!G3</f>
        <v>0</v>
      </c>
      <c r="H3" s="5">
        <f>'SAP Results'!H3</f>
        <v>0</v>
      </c>
      <c r="I3" s="5">
        <f>'SAP Results'!I3</f>
        <v>0</v>
      </c>
      <c r="J3" s="5">
        <f>'SAP Results'!J3</f>
        <v>19.977599999999999</v>
      </c>
      <c r="K3" s="5" t="str">
        <f>'SAP Results'!K3</f>
        <v>1-1</v>
      </c>
      <c r="L3" s="5">
        <f>'SAP Results'!L3</f>
        <v>2.6</v>
      </c>
    </row>
    <row r="4" spans="1:12" hidden="1">
      <c r="A4" s="6" t="str">
        <f>'SAP Results'!A4</f>
        <v>1</v>
      </c>
      <c r="B4" s="5">
        <f>'SAP Results'!B4</f>
        <v>5.2</v>
      </c>
      <c r="C4" s="5" t="str">
        <f>'SAP Results'!C4</f>
        <v>EX</v>
      </c>
      <c r="D4" s="5" t="str">
        <f>'SAP Results'!D4</f>
        <v>LinStatic</v>
      </c>
      <c r="E4" s="5">
        <f>'SAP Results'!E4</f>
        <v>18.693999999999999</v>
      </c>
      <c r="F4" s="5">
        <f>'SAP Results'!F4</f>
        <v>40.723999999999997</v>
      </c>
      <c r="G4" s="5">
        <f>'SAP Results'!G4</f>
        <v>0</v>
      </c>
      <c r="H4" s="5">
        <f>'SAP Results'!H4</f>
        <v>0</v>
      </c>
      <c r="I4" s="5">
        <f>'SAP Results'!I4</f>
        <v>0</v>
      </c>
      <c r="J4" s="5">
        <f>'SAP Results'!J4</f>
        <v>-85.904799999999994</v>
      </c>
      <c r="K4" s="5" t="str">
        <f>'SAP Results'!K4</f>
        <v>1-1</v>
      </c>
      <c r="L4" s="5">
        <f>'SAP Results'!L4</f>
        <v>5.2</v>
      </c>
    </row>
    <row r="5" spans="1:12" hidden="1">
      <c r="A5" s="6" t="str">
        <f>'SAP Results'!A5</f>
        <v>1</v>
      </c>
      <c r="B5" s="5">
        <f>'SAP Results'!B5</f>
        <v>0</v>
      </c>
      <c r="C5" s="5" t="str">
        <f>'SAP Results'!C5</f>
        <v>G-1</v>
      </c>
      <c r="D5" s="5" t="str">
        <f>'SAP Results'!D5</f>
        <v>LinStatic</v>
      </c>
      <c r="E5" s="5">
        <f>'SAP Results'!E5</f>
        <v>-152.78200000000001</v>
      </c>
      <c r="F5" s="5">
        <f>'SAP Results'!F5</f>
        <v>-33.564999999999998</v>
      </c>
      <c r="G5" s="5">
        <f>'SAP Results'!G5</f>
        <v>0</v>
      </c>
      <c r="H5" s="5">
        <f>'SAP Results'!H5</f>
        <v>0</v>
      </c>
      <c r="I5" s="5">
        <f>'SAP Results'!I5</f>
        <v>0</v>
      </c>
      <c r="J5" s="5">
        <f>'SAP Results'!J5</f>
        <v>-49.655099999999997</v>
      </c>
      <c r="K5" s="5" t="str">
        <f>'SAP Results'!K5</f>
        <v>1-1</v>
      </c>
      <c r="L5" s="5">
        <f>'SAP Results'!L5</f>
        <v>0</v>
      </c>
    </row>
    <row r="6" spans="1:12" hidden="1">
      <c r="A6" s="6" t="str">
        <f>'SAP Results'!A6</f>
        <v>1</v>
      </c>
      <c r="B6" s="5">
        <f>'SAP Results'!B6</f>
        <v>2.6</v>
      </c>
      <c r="C6" s="5" t="str">
        <f>'SAP Results'!C6</f>
        <v>G-1</v>
      </c>
      <c r="D6" s="5" t="str">
        <f>'SAP Results'!D6</f>
        <v>LinStatic</v>
      </c>
      <c r="E6" s="5">
        <f>'SAP Results'!E6</f>
        <v>-152.78200000000001</v>
      </c>
      <c r="F6" s="5">
        <f>'SAP Results'!F6</f>
        <v>-33.564999999999998</v>
      </c>
      <c r="G6" s="5">
        <f>'SAP Results'!G6</f>
        <v>0</v>
      </c>
      <c r="H6" s="5">
        <f>'SAP Results'!H6</f>
        <v>0</v>
      </c>
      <c r="I6" s="5">
        <f>'SAP Results'!I6</f>
        <v>0</v>
      </c>
      <c r="J6" s="5">
        <f>'SAP Results'!J6</f>
        <v>37.613599999999998</v>
      </c>
      <c r="K6" s="5" t="str">
        <f>'SAP Results'!K6</f>
        <v>1-1</v>
      </c>
      <c r="L6" s="5">
        <f>'SAP Results'!L6</f>
        <v>2.6</v>
      </c>
    </row>
    <row r="7" spans="1:12" hidden="1">
      <c r="A7" s="6" t="str">
        <f>'SAP Results'!A7</f>
        <v>1</v>
      </c>
      <c r="B7" s="5">
        <f>'SAP Results'!B7</f>
        <v>5.2</v>
      </c>
      <c r="C7" s="5" t="str">
        <f>'SAP Results'!C7</f>
        <v>G-1</v>
      </c>
      <c r="D7" s="5" t="str">
        <f>'SAP Results'!D7</f>
        <v>LinStatic</v>
      </c>
      <c r="E7" s="5">
        <f>'SAP Results'!E7</f>
        <v>-152.78200000000001</v>
      </c>
      <c r="F7" s="5">
        <f>'SAP Results'!F7</f>
        <v>-33.564999999999998</v>
      </c>
      <c r="G7" s="5">
        <f>'SAP Results'!G7</f>
        <v>0</v>
      </c>
      <c r="H7" s="5">
        <f>'SAP Results'!H7</f>
        <v>0</v>
      </c>
      <c r="I7" s="5">
        <f>'SAP Results'!I7</f>
        <v>0</v>
      </c>
      <c r="J7" s="5">
        <f>'SAP Results'!J7</f>
        <v>124.8822</v>
      </c>
      <c r="K7" s="5" t="str">
        <f>'SAP Results'!K7</f>
        <v>1-1</v>
      </c>
      <c r="L7" s="5">
        <f>'SAP Results'!L7</f>
        <v>5.2</v>
      </c>
    </row>
    <row r="8" spans="1:12" hidden="1">
      <c r="A8" s="6" t="str">
        <f>'SAP Results'!A8</f>
        <v>1</v>
      </c>
      <c r="B8" s="5">
        <f>'SAP Results'!B8</f>
        <v>0</v>
      </c>
      <c r="C8" s="5" t="str">
        <f>'SAP Results'!C8</f>
        <v>G-2</v>
      </c>
      <c r="D8" s="5" t="str">
        <f>'SAP Results'!D8</f>
        <v>LinStatic</v>
      </c>
      <c r="E8" s="5">
        <f>'SAP Results'!E8</f>
        <v>10.212999999999999</v>
      </c>
      <c r="F8" s="5">
        <f>'SAP Results'!F8</f>
        <v>1.0249999999999999</v>
      </c>
      <c r="G8" s="5">
        <f>'SAP Results'!G8</f>
        <v>0</v>
      </c>
      <c r="H8" s="5">
        <f>'SAP Results'!H8</f>
        <v>0</v>
      </c>
      <c r="I8" s="5">
        <f>'SAP Results'!I8</f>
        <v>0</v>
      </c>
      <c r="J8" s="5">
        <f>'SAP Results'!J8</f>
        <v>-4.8253000000000004</v>
      </c>
      <c r="K8" s="5" t="str">
        <f>'SAP Results'!K8</f>
        <v>1-1</v>
      </c>
      <c r="L8" s="5">
        <f>'SAP Results'!L8</f>
        <v>0</v>
      </c>
    </row>
    <row r="9" spans="1:12" hidden="1">
      <c r="A9" s="6" t="str">
        <f>'SAP Results'!A9</f>
        <v>1</v>
      </c>
      <c r="B9" s="5">
        <f>'SAP Results'!B9</f>
        <v>2.6</v>
      </c>
      <c r="C9" s="5" t="str">
        <f>'SAP Results'!C9</f>
        <v>G-2</v>
      </c>
      <c r="D9" s="5" t="str">
        <f>'SAP Results'!D9</f>
        <v>LinStatic</v>
      </c>
      <c r="E9" s="5">
        <f>'SAP Results'!E9</f>
        <v>10.212999999999999</v>
      </c>
      <c r="F9" s="5">
        <f>'SAP Results'!F9</f>
        <v>1.0249999999999999</v>
      </c>
      <c r="G9" s="5">
        <f>'SAP Results'!G9</f>
        <v>0</v>
      </c>
      <c r="H9" s="5">
        <f>'SAP Results'!H9</f>
        <v>0</v>
      </c>
      <c r="I9" s="5">
        <f>'SAP Results'!I9</f>
        <v>0</v>
      </c>
      <c r="J9" s="5">
        <f>'SAP Results'!J9</f>
        <v>-7.4897999999999998</v>
      </c>
      <c r="K9" s="5" t="str">
        <f>'SAP Results'!K9</f>
        <v>1-1</v>
      </c>
      <c r="L9" s="5">
        <f>'SAP Results'!L9</f>
        <v>2.6</v>
      </c>
    </row>
    <row r="10" spans="1:12" hidden="1">
      <c r="A10" s="6" t="str">
        <f>'SAP Results'!A10</f>
        <v>1</v>
      </c>
      <c r="B10" s="5">
        <f>'SAP Results'!B10</f>
        <v>5.2</v>
      </c>
      <c r="C10" s="5" t="str">
        <f>'SAP Results'!C10</f>
        <v>G-2</v>
      </c>
      <c r="D10" s="5" t="str">
        <f>'SAP Results'!D10</f>
        <v>LinStatic</v>
      </c>
      <c r="E10" s="5">
        <f>'SAP Results'!E10</f>
        <v>10.212999999999999</v>
      </c>
      <c r="F10" s="5">
        <f>'SAP Results'!F10</f>
        <v>1.0249999999999999</v>
      </c>
      <c r="G10" s="5">
        <f>'SAP Results'!G10</f>
        <v>0</v>
      </c>
      <c r="H10" s="5">
        <f>'SAP Results'!H10</f>
        <v>0</v>
      </c>
      <c r="I10" s="5">
        <f>'SAP Results'!I10</f>
        <v>0</v>
      </c>
      <c r="J10" s="5">
        <f>'SAP Results'!J10</f>
        <v>-10.154299999999999</v>
      </c>
      <c r="K10" s="5" t="str">
        <f>'SAP Results'!K10</f>
        <v>1-1</v>
      </c>
      <c r="L10" s="5">
        <f>'SAP Results'!L10</f>
        <v>5.2</v>
      </c>
    </row>
    <row r="11" spans="1:12">
      <c r="A11" s="6" t="str">
        <f>'SAP Results'!A11</f>
        <v>1</v>
      </c>
      <c r="B11" s="5">
        <f>'SAP Results'!B11</f>
        <v>0</v>
      </c>
      <c r="C11" s="5" t="str">
        <f>'SAP Results'!C11</f>
        <v>Q-1</v>
      </c>
      <c r="D11" s="5" t="str">
        <f>'SAP Results'!D11</f>
        <v>LinStatic</v>
      </c>
      <c r="E11" s="5">
        <f>'SAP Results'!E11</f>
        <v>-77.08</v>
      </c>
      <c r="F11" s="5">
        <f>'SAP Results'!F11</f>
        <v>-16.934000000000001</v>
      </c>
      <c r="G11" s="5">
        <f>'SAP Results'!G11</f>
        <v>0</v>
      </c>
      <c r="H11" s="5">
        <f>'SAP Results'!H11</f>
        <v>0</v>
      </c>
      <c r="I11" s="5">
        <f>'SAP Results'!I11</f>
        <v>0</v>
      </c>
      <c r="J11" s="5">
        <f>'SAP Results'!J11</f>
        <v>-25.051600000000001</v>
      </c>
      <c r="K11" s="5" t="str">
        <f>'SAP Results'!K11</f>
        <v>1-1</v>
      </c>
      <c r="L11" s="5">
        <f>'SAP Results'!L11</f>
        <v>0</v>
      </c>
    </row>
    <row r="12" spans="1:12">
      <c r="A12" s="6" t="str">
        <f>'SAP Results'!A12</f>
        <v>1</v>
      </c>
      <c r="B12" s="5">
        <f>'SAP Results'!B12</f>
        <v>2.6</v>
      </c>
      <c r="C12" s="5" t="str">
        <f>'SAP Results'!C12</f>
        <v>Q-1</v>
      </c>
      <c r="D12" s="5" t="str">
        <f>'SAP Results'!D12</f>
        <v>LinStatic</v>
      </c>
      <c r="E12" s="5">
        <f>'SAP Results'!E12</f>
        <v>-77.08</v>
      </c>
      <c r="F12" s="5">
        <f>'SAP Results'!F12</f>
        <v>-16.934000000000001</v>
      </c>
      <c r="G12" s="5">
        <f>'SAP Results'!G12</f>
        <v>0</v>
      </c>
      <c r="H12" s="5">
        <f>'SAP Results'!H12</f>
        <v>0</v>
      </c>
      <c r="I12" s="5">
        <f>'SAP Results'!I12</f>
        <v>0</v>
      </c>
      <c r="J12" s="5">
        <f>'SAP Results'!J12</f>
        <v>18.976500000000001</v>
      </c>
      <c r="K12" s="5" t="str">
        <f>'SAP Results'!K12</f>
        <v>1-1</v>
      </c>
      <c r="L12" s="5">
        <f>'SAP Results'!L12</f>
        <v>2.6</v>
      </c>
    </row>
    <row r="13" spans="1:12">
      <c r="A13" s="6" t="str">
        <f>'SAP Results'!A13</f>
        <v>1</v>
      </c>
      <c r="B13" s="5">
        <f>'SAP Results'!B13</f>
        <v>5.2</v>
      </c>
      <c r="C13" s="5" t="str">
        <f>'SAP Results'!C13</f>
        <v>Q-1</v>
      </c>
      <c r="D13" s="5" t="str">
        <f>'SAP Results'!D13</f>
        <v>LinStatic</v>
      </c>
      <c r="E13" s="5">
        <f>'SAP Results'!E13</f>
        <v>-77.08</v>
      </c>
      <c r="F13" s="5">
        <f>'SAP Results'!F13</f>
        <v>-16.934000000000001</v>
      </c>
      <c r="G13" s="5">
        <f>'SAP Results'!G13</f>
        <v>0</v>
      </c>
      <c r="H13" s="5">
        <f>'SAP Results'!H13</f>
        <v>0</v>
      </c>
      <c r="I13" s="5">
        <f>'SAP Results'!I13</f>
        <v>0</v>
      </c>
      <c r="J13" s="5">
        <f>'SAP Results'!J13</f>
        <v>63.004600000000003</v>
      </c>
      <c r="K13" s="5" t="str">
        <f>'SAP Results'!K13</f>
        <v>1-1</v>
      </c>
      <c r="L13" s="5">
        <f>'SAP Results'!L13</f>
        <v>5.2</v>
      </c>
    </row>
    <row r="14" spans="1:12" hidden="1">
      <c r="A14" s="6" t="str">
        <f>'SAP Results'!A14</f>
        <v>1</v>
      </c>
      <c r="B14" s="5">
        <f>'SAP Results'!B14</f>
        <v>0</v>
      </c>
      <c r="C14" s="5" t="str">
        <f>'SAP Results'!C14</f>
        <v>Q-2</v>
      </c>
      <c r="D14" s="5" t="str">
        <f>'SAP Results'!D14</f>
        <v>LinStatic</v>
      </c>
      <c r="E14" s="5">
        <f>'SAP Results'!E14</f>
        <v>5.1529999999999996</v>
      </c>
      <c r="F14" s="5">
        <f>'SAP Results'!F14</f>
        <v>0.51700000000000002</v>
      </c>
      <c r="G14" s="5">
        <f>'SAP Results'!G14</f>
        <v>0</v>
      </c>
      <c r="H14" s="5">
        <f>'SAP Results'!H14</f>
        <v>0</v>
      </c>
      <c r="I14" s="5">
        <f>'SAP Results'!I14</f>
        <v>0</v>
      </c>
      <c r="J14" s="5">
        <f>'SAP Results'!J14</f>
        <v>-2.4344000000000001</v>
      </c>
      <c r="K14" s="5" t="str">
        <f>'SAP Results'!K14</f>
        <v>1-1</v>
      </c>
      <c r="L14" s="5">
        <f>'SAP Results'!L14</f>
        <v>0</v>
      </c>
    </row>
    <row r="15" spans="1:12" hidden="1">
      <c r="A15" s="6" t="str">
        <f>'SAP Results'!A15</f>
        <v>1</v>
      </c>
      <c r="B15" s="5">
        <f>'SAP Results'!B15</f>
        <v>2.6</v>
      </c>
      <c r="C15" s="5" t="str">
        <f>'SAP Results'!C15</f>
        <v>Q-2</v>
      </c>
      <c r="D15" s="5" t="str">
        <f>'SAP Results'!D15</f>
        <v>LinStatic</v>
      </c>
      <c r="E15" s="5">
        <f>'SAP Results'!E15</f>
        <v>5.1529999999999996</v>
      </c>
      <c r="F15" s="5">
        <f>'SAP Results'!F15</f>
        <v>0.51700000000000002</v>
      </c>
      <c r="G15" s="5">
        <f>'SAP Results'!G15</f>
        <v>0</v>
      </c>
      <c r="H15" s="5">
        <f>'SAP Results'!H15</f>
        <v>0</v>
      </c>
      <c r="I15" s="5">
        <f>'SAP Results'!I15</f>
        <v>0</v>
      </c>
      <c r="J15" s="5">
        <f>'SAP Results'!J15</f>
        <v>-3.7787000000000002</v>
      </c>
      <c r="K15" s="5" t="str">
        <f>'SAP Results'!K15</f>
        <v>1-1</v>
      </c>
      <c r="L15" s="5">
        <f>'SAP Results'!L15</f>
        <v>2.6</v>
      </c>
    </row>
    <row r="16" spans="1:12" hidden="1">
      <c r="A16" s="6" t="str">
        <f>'SAP Results'!A16</f>
        <v>1</v>
      </c>
      <c r="B16" s="5">
        <f>'SAP Results'!B16</f>
        <v>5.2</v>
      </c>
      <c r="C16" s="5" t="str">
        <f>'SAP Results'!C16</f>
        <v>Q-2</v>
      </c>
      <c r="D16" s="5" t="str">
        <f>'SAP Results'!D16</f>
        <v>LinStatic</v>
      </c>
      <c r="E16" s="5">
        <f>'SAP Results'!E16</f>
        <v>5.1529999999999996</v>
      </c>
      <c r="F16" s="5">
        <f>'SAP Results'!F16</f>
        <v>0.51700000000000002</v>
      </c>
      <c r="G16" s="5">
        <f>'SAP Results'!G16</f>
        <v>0</v>
      </c>
      <c r="H16" s="5">
        <f>'SAP Results'!H16</f>
        <v>0</v>
      </c>
      <c r="I16" s="5">
        <f>'SAP Results'!I16</f>
        <v>0</v>
      </c>
      <c r="J16" s="5">
        <f>'SAP Results'!J16</f>
        <v>-5.1230000000000002</v>
      </c>
      <c r="K16" s="5" t="str">
        <f>'SAP Results'!K16</f>
        <v>1-1</v>
      </c>
      <c r="L16" s="5">
        <f>'SAP Results'!L16</f>
        <v>5.2</v>
      </c>
    </row>
    <row r="17" spans="1:12" hidden="1">
      <c r="A17" s="6" t="str">
        <f>'SAP Results'!A17</f>
        <v>2</v>
      </c>
      <c r="B17" s="5">
        <f>'SAP Results'!B17</f>
        <v>0</v>
      </c>
      <c r="C17" s="5" t="str">
        <f>'SAP Results'!C17</f>
        <v>EX</v>
      </c>
      <c r="D17" s="5" t="str">
        <f>'SAP Results'!D17</f>
        <v>LinStatic</v>
      </c>
      <c r="E17" s="5">
        <f>'SAP Results'!E17</f>
        <v>6.5729999999999995E-16</v>
      </c>
      <c r="F17" s="5">
        <f>'SAP Results'!F17</f>
        <v>52.991999999999997</v>
      </c>
      <c r="G17" s="5">
        <f>'SAP Results'!G17</f>
        <v>0</v>
      </c>
      <c r="H17" s="5">
        <f>'SAP Results'!H17</f>
        <v>0</v>
      </c>
      <c r="I17" s="5">
        <f>'SAP Results'!I17</f>
        <v>0</v>
      </c>
      <c r="J17" s="5">
        <f>'SAP Results'!J17</f>
        <v>146.3998</v>
      </c>
      <c r="K17" s="5" t="str">
        <f>'SAP Results'!K17</f>
        <v>2-1</v>
      </c>
      <c r="L17" s="5">
        <f>'SAP Results'!L17</f>
        <v>0</v>
      </c>
    </row>
    <row r="18" spans="1:12" hidden="1">
      <c r="A18" s="6" t="str">
        <f>'SAP Results'!A18</f>
        <v>2</v>
      </c>
      <c r="B18" s="5">
        <f>'SAP Results'!B18</f>
        <v>2.6</v>
      </c>
      <c r="C18" s="5" t="str">
        <f>'SAP Results'!C18</f>
        <v>EX</v>
      </c>
      <c r="D18" s="5" t="str">
        <f>'SAP Results'!D18</f>
        <v>LinStatic</v>
      </c>
      <c r="E18" s="5">
        <f>'SAP Results'!E18</f>
        <v>6.5729999999999995E-16</v>
      </c>
      <c r="F18" s="5">
        <f>'SAP Results'!F18</f>
        <v>52.991999999999997</v>
      </c>
      <c r="G18" s="5">
        <f>'SAP Results'!G18</f>
        <v>0</v>
      </c>
      <c r="H18" s="5">
        <f>'SAP Results'!H18</f>
        <v>0</v>
      </c>
      <c r="I18" s="5">
        <f>'SAP Results'!I18</f>
        <v>0</v>
      </c>
      <c r="J18" s="5">
        <f>'SAP Results'!J18</f>
        <v>8.6204999999999998</v>
      </c>
      <c r="K18" s="5" t="str">
        <f>'SAP Results'!K18</f>
        <v>2-1</v>
      </c>
      <c r="L18" s="5">
        <f>'SAP Results'!L18</f>
        <v>2.6</v>
      </c>
    </row>
    <row r="19" spans="1:12" hidden="1">
      <c r="A19" s="6" t="str">
        <f>'SAP Results'!A19</f>
        <v>2</v>
      </c>
      <c r="B19" s="5">
        <f>'SAP Results'!B19</f>
        <v>5.2</v>
      </c>
      <c r="C19" s="5" t="str">
        <f>'SAP Results'!C19</f>
        <v>EX</v>
      </c>
      <c r="D19" s="5" t="str">
        <f>'SAP Results'!D19</f>
        <v>LinStatic</v>
      </c>
      <c r="E19" s="5">
        <f>'SAP Results'!E19</f>
        <v>6.5729999999999995E-16</v>
      </c>
      <c r="F19" s="5">
        <f>'SAP Results'!F19</f>
        <v>52.991999999999997</v>
      </c>
      <c r="G19" s="5">
        <f>'SAP Results'!G19</f>
        <v>0</v>
      </c>
      <c r="H19" s="5">
        <f>'SAP Results'!H19</f>
        <v>0</v>
      </c>
      <c r="I19" s="5">
        <f>'SAP Results'!I19</f>
        <v>0</v>
      </c>
      <c r="J19" s="5">
        <f>'SAP Results'!J19</f>
        <v>-129.15889999999999</v>
      </c>
      <c r="K19" s="5" t="str">
        <f>'SAP Results'!K19</f>
        <v>2-1</v>
      </c>
      <c r="L19" s="5">
        <f>'SAP Results'!L19</f>
        <v>5.2</v>
      </c>
    </row>
    <row r="20" spans="1:12" hidden="1">
      <c r="A20" s="6" t="str">
        <f>'SAP Results'!A20</f>
        <v>2</v>
      </c>
      <c r="B20" s="5">
        <f>'SAP Results'!B20</f>
        <v>0</v>
      </c>
      <c r="C20" s="5" t="str">
        <f>'SAP Results'!C20</f>
        <v>G-1</v>
      </c>
      <c r="D20" s="5" t="str">
        <f>'SAP Results'!D20</f>
        <v>LinStatic</v>
      </c>
      <c r="E20" s="5">
        <f>'SAP Results'!E20</f>
        <v>-178.54599999999999</v>
      </c>
      <c r="F20" s="5">
        <f>'SAP Results'!F20</f>
        <v>34.590000000000003</v>
      </c>
      <c r="G20" s="5">
        <f>'SAP Results'!G20</f>
        <v>0</v>
      </c>
      <c r="H20" s="5">
        <f>'SAP Results'!H20</f>
        <v>0</v>
      </c>
      <c r="I20" s="5">
        <f>'SAP Results'!I20</f>
        <v>0</v>
      </c>
      <c r="J20" s="5">
        <f>'SAP Results'!J20</f>
        <v>64.453100000000006</v>
      </c>
      <c r="K20" s="5" t="str">
        <f>'SAP Results'!K20</f>
        <v>2-1</v>
      </c>
      <c r="L20" s="5">
        <f>'SAP Results'!L20</f>
        <v>0</v>
      </c>
    </row>
    <row r="21" spans="1:12" ht="15.75" hidden="1" customHeight="1">
      <c r="A21" s="6" t="str">
        <f>'SAP Results'!A21</f>
        <v>2</v>
      </c>
      <c r="B21" s="5">
        <f>'SAP Results'!B21</f>
        <v>2.6</v>
      </c>
      <c r="C21" s="5" t="str">
        <f>'SAP Results'!C21</f>
        <v>G-1</v>
      </c>
      <c r="D21" s="5" t="str">
        <f>'SAP Results'!D21</f>
        <v>LinStatic</v>
      </c>
      <c r="E21" s="5">
        <f>'SAP Results'!E21</f>
        <v>-178.54599999999999</v>
      </c>
      <c r="F21" s="5">
        <f>'SAP Results'!F21</f>
        <v>34.590000000000003</v>
      </c>
      <c r="G21" s="5">
        <f>'SAP Results'!G21</f>
        <v>0</v>
      </c>
      <c r="H21" s="5">
        <f>'SAP Results'!H21</f>
        <v>0</v>
      </c>
      <c r="I21" s="5">
        <f>'SAP Results'!I21</f>
        <v>0</v>
      </c>
      <c r="J21" s="5">
        <f>'SAP Results'!J21</f>
        <v>-25.48</v>
      </c>
      <c r="K21" s="5" t="str">
        <f>'SAP Results'!K21</f>
        <v>2-1</v>
      </c>
      <c r="L21" s="5">
        <f>'SAP Results'!L21</f>
        <v>2.6</v>
      </c>
    </row>
    <row r="22" spans="1:12" ht="15.75" hidden="1" customHeight="1">
      <c r="A22" s="6" t="str">
        <f>'SAP Results'!A22</f>
        <v>2</v>
      </c>
      <c r="B22" s="5">
        <f>'SAP Results'!B22</f>
        <v>5.2</v>
      </c>
      <c r="C22" s="5" t="str">
        <f>'SAP Results'!C22</f>
        <v>G-1</v>
      </c>
      <c r="D22" s="5" t="str">
        <f>'SAP Results'!D22</f>
        <v>LinStatic</v>
      </c>
      <c r="E22" s="5">
        <f>'SAP Results'!E22</f>
        <v>-178.54599999999999</v>
      </c>
      <c r="F22" s="5">
        <f>'SAP Results'!F22</f>
        <v>34.590000000000003</v>
      </c>
      <c r="G22" s="5">
        <f>'SAP Results'!G22</f>
        <v>0</v>
      </c>
      <c r="H22" s="5">
        <f>'SAP Results'!H22</f>
        <v>0</v>
      </c>
      <c r="I22" s="5">
        <f>'SAP Results'!I22</f>
        <v>0</v>
      </c>
      <c r="J22" s="5">
        <f>'SAP Results'!J22</f>
        <v>-115.4132</v>
      </c>
      <c r="K22" s="5" t="str">
        <f>'SAP Results'!K22</f>
        <v>2-1</v>
      </c>
      <c r="L22" s="5">
        <f>'SAP Results'!L22</f>
        <v>5.2</v>
      </c>
    </row>
    <row r="23" spans="1:12" ht="15.75" hidden="1" customHeight="1">
      <c r="A23" s="6" t="str">
        <f>'SAP Results'!A23</f>
        <v>2</v>
      </c>
      <c r="B23" s="5">
        <f>'SAP Results'!B23</f>
        <v>0</v>
      </c>
      <c r="C23" s="5" t="str">
        <f>'SAP Results'!C23</f>
        <v>G-2</v>
      </c>
      <c r="D23" s="5" t="str">
        <f>'SAP Results'!D23</f>
        <v>LinStatic</v>
      </c>
      <c r="E23" s="5">
        <f>'SAP Results'!E23</f>
        <v>-178.54599999999999</v>
      </c>
      <c r="F23" s="5">
        <f>'SAP Results'!F23</f>
        <v>-34.590000000000003</v>
      </c>
      <c r="G23" s="5">
        <f>'SAP Results'!G23</f>
        <v>0</v>
      </c>
      <c r="H23" s="5">
        <f>'SAP Results'!H23</f>
        <v>0</v>
      </c>
      <c r="I23" s="5">
        <f>'SAP Results'!I23</f>
        <v>0</v>
      </c>
      <c r="J23" s="5">
        <f>'SAP Results'!J23</f>
        <v>-64.453100000000006</v>
      </c>
      <c r="K23" s="5" t="str">
        <f>'SAP Results'!K23</f>
        <v>2-1</v>
      </c>
      <c r="L23" s="5">
        <f>'SAP Results'!L23</f>
        <v>0</v>
      </c>
    </row>
    <row r="24" spans="1:12" ht="15.75" hidden="1" customHeight="1">
      <c r="A24" s="6" t="str">
        <f>'SAP Results'!A24</f>
        <v>2</v>
      </c>
      <c r="B24" s="5">
        <f>'SAP Results'!B24</f>
        <v>2.6</v>
      </c>
      <c r="C24" s="5" t="str">
        <f>'SAP Results'!C24</f>
        <v>G-2</v>
      </c>
      <c r="D24" s="5" t="str">
        <f>'SAP Results'!D24</f>
        <v>LinStatic</v>
      </c>
      <c r="E24" s="5">
        <f>'SAP Results'!E24</f>
        <v>-178.54599999999999</v>
      </c>
      <c r="F24" s="5">
        <f>'SAP Results'!F24</f>
        <v>-34.590000000000003</v>
      </c>
      <c r="G24" s="5">
        <f>'SAP Results'!G24</f>
        <v>0</v>
      </c>
      <c r="H24" s="5">
        <f>'SAP Results'!H24</f>
        <v>0</v>
      </c>
      <c r="I24" s="5">
        <f>'SAP Results'!I24</f>
        <v>0</v>
      </c>
      <c r="J24" s="5">
        <f>'SAP Results'!J24</f>
        <v>25.48</v>
      </c>
      <c r="K24" s="5" t="str">
        <f>'SAP Results'!K24</f>
        <v>2-1</v>
      </c>
      <c r="L24" s="5">
        <f>'SAP Results'!L24</f>
        <v>2.6</v>
      </c>
    </row>
    <row r="25" spans="1:12" ht="15.75" hidden="1" customHeight="1">
      <c r="A25" s="6" t="str">
        <f>'SAP Results'!A25</f>
        <v>2</v>
      </c>
      <c r="B25" s="5">
        <f>'SAP Results'!B25</f>
        <v>5.2</v>
      </c>
      <c r="C25" s="5" t="str">
        <f>'SAP Results'!C25</f>
        <v>G-2</v>
      </c>
      <c r="D25" s="5" t="str">
        <f>'SAP Results'!D25</f>
        <v>LinStatic</v>
      </c>
      <c r="E25" s="5">
        <f>'SAP Results'!E25</f>
        <v>-178.54599999999999</v>
      </c>
      <c r="F25" s="5">
        <f>'SAP Results'!F25</f>
        <v>-34.590000000000003</v>
      </c>
      <c r="G25" s="5">
        <f>'SAP Results'!G25</f>
        <v>0</v>
      </c>
      <c r="H25" s="5">
        <f>'SAP Results'!H25</f>
        <v>0</v>
      </c>
      <c r="I25" s="5">
        <f>'SAP Results'!I25</f>
        <v>0</v>
      </c>
      <c r="J25" s="5">
        <f>'SAP Results'!J25</f>
        <v>115.4132</v>
      </c>
      <c r="K25" s="5" t="str">
        <f>'SAP Results'!K25</f>
        <v>2-1</v>
      </c>
      <c r="L25" s="5">
        <f>'SAP Results'!L25</f>
        <v>5.2</v>
      </c>
    </row>
    <row r="26" spans="1:12" ht="15.75" customHeight="1">
      <c r="A26" s="6" t="str">
        <f>'SAP Results'!A26</f>
        <v>2</v>
      </c>
      <c r="B26" s="5">
        <f>'SAP Results'!B26</f>
        <v>0</v>
      </c>
      <c r="C26" s="5" t="str">
        <f>'SAP Results'!C26</f>
        <v>Q-1</v>
      </c>
      <c r="D26" s="5" t="str">
        <f>'SAP Results'!D26</f>
        <v>LinStatic</v>
      </c>
      <c r="E26" s="5">
        <f>'SAP Results'!E26</f>
        <v>-90.078999999999994</v>
      </c>
      <c r="F26" s="5">
        <f>'SAP Results'!F26</f>
        <v>17.451000000000001</v>
      </c>
      <c r="G26" s="5">
        <f>'SAP Results'!G26</f>
        <v>0</v>
      </c>
      <c r="H26" s="5">
        <f>'SAP Results'!H26</f>
        <v>0</v>
      </c>
      <c r="I26" s="5">
        <f>'SAP Results'!I26</f>
        <v>0</v>
      </c>
      <c r="J26" s="5">
        <f>'SAP Results'!J26</f>
        <v>32.517400000000002</v>
      </c>
      <c r="K26" s="5" t="str">
        <f>'SAP Results'!K26</f>
        <v>2-1</v>
      </c>
      <c r="L26" s="5">
        <f>'SAP Results'!L26</f>
        <v>0</v>
      </c>
    </row>
    <row r="27" spans="1:12" ht="15.75" customHeight="1">
      <c r="A27" s="6" t="str">
        <f>'SAP Results'!A27</f>
        <v>2</v>
      </c>
      <c r="B27" s="5">
        <f>'SAP Results'!B27</f>
        <v>2.6</v>
      </c>
      <c r="C27" s="5" t="str">
        <f>'SAP Results'!C27</f>
        <v>Q-1</v>
      </c>
      <c r="D27" s="5" t="str">
        <f>'SAP Results'!D27</f>
        <v>LinStatic</v>
      </c>
      <c r="E27" s="5">
        <f>'SAP Results'!E27</f>
        <v>-90.078999999999994</v>
      </c>
      <c r="F27" s="5">
        <f>'SAP Results'!F27</f>
        <v>17.451000000000001</v>
      </c>
      <c r="G27" s="5">
        <f>'SAP Results'!G27</f>
        <v>0</v>
      </c>
      <c r="H27" s="5">
        <f>'SAP Results'!H27</f>
        <v>0</v>
      </c>
      <c r="I27" s="5">
        <f>'SAP Results'!I27</f>
        <v>0</v>
      </c>
      <c r="J27" s="5">
        <f>'SAP Results'!J27</f>
        <v>-12.855</v>
      </c>
      <c r="K27" s="5" t="str">
        <f>'SAP Results'!K27</f>
        <v>2-1</v>
      </c>
      <c r="L27" s="5">
        <f>'SAP Results'!L27</f>
        <v>2.6</v>
      </c>
    </row>
    <row r="28" spans="1:12" ht="15.75" customHeight="1">
      <c r="A28" s="6" t="str">
        <f>'SAP Results'!A28</f>
        <v>2</v>
      </c>
      <c r="B28" s="5">
        <f>'SAP Results'!B28</f>
        <v>5.2</v>
      </c>
      <c r="C28" s="5" t="str">
        <f>'SAP Results'!C28</f>
        <v>Q-1</v>
      </c>
      <c r="D28" s="5" t="str">
        <f>'SAP Results'!D28</f>
        <v>LinStatic</v>
      </c>
      <c r="E28" s="5">
        <f>'SAP Results'!E28</f>
        <v>-90.078999999999994</v>
      </c>
      <c r="F28" s="5">
        <f>'SAP Results'!F28</f>
        <v>17.451000000000001</v>
      </c>
      <c r="G28" s="5">
        <f>'SAP Results'!G28</f>
        <v>0</v>
      </c>
      <c r="H28" s="5">
        <f>'SAP Results'!H28</f>
        <v>0</v>
      </c>
      <c r="I28" s="5">
        <f>'SAP Results'!I28</f>
        <v>0</v>
      </c>
      <c r="J28" s="5">
        <f>'SAP Results'!J28</f>
        <v>-58.227400000000003</v>
      </c>
      <c r="K28" s="5" t="str">
        <f>'SAP Results'!K28</f>
        <v>2-1</v>
      </c>
      <c r="L28" s="5">
        <f>'SAP Results'!L28</f>
        <v>5.2</v>
      </c>
    </row>
    <row r="29" spans="1:12" ht="15.75" hidden="1" customHeight="1">
      <c r="A29" s="6" t="str">
        <f>'SAP Results'!A29</f>
        <v>2</v>
      </c>
      <c r="B29" s="5">
        <f>'SAP Results'!B29</f>
        <v>0</v>
      </c>
      <c r="C29" s="5" t="str">
        <f>'SAP Results'!C29</f>
        <v>Q-2</v>
      </c>
      <c r="D29" s="5" t="str">
        <f>'SAP Results'!D29</f>
        <v>LinStatic</v>
      </c>
      <c r="E29" s="5">
        <f>'SAP Results'!E29</f>
        <v>-90.078999999999994</v>
      </c>
      <c r="F29" s="5">
        <f>'SAP Results'!F29</f>
        <v>-17.451000000000001</v>
      </c>
      <c r="G29" s="5">
        <f>'SAP Results'!G29</f>
        <v>0</v>
      </c>
      <c r="H29" s="5">
        <f>'SAP Results'!H29</f>
        <v>0</v>
      </c>
      <c r="I29" s="5">
        <f>'SAP Results'!I29</f>
        <v>0</v>
      </c>
      <c r="J29" s="5">
        <f>'SAP Results'!J29</f>
        <v>-32.517400000000002</v>
      </c>
      <c r="K29" s="5" t="str">
        <f>'SAP Results'!K29</f>
        <v>2-1</v>
      </c>
      <c r="L29" s="5">
        <f>'SAP Results'!L29</f>
        <v>0</v>
      </c>
    </row>
    <row r="30" spans="1:12" ht="15.75" hidden="1" customHeight="1">
      <c r="A30" s="6" t="str">
        <f>'SAP Results'!A30</f>
        <v>2</v>
      </c>
      <c r="B30" s="5">
        <f>'SAP Results'!B30</f>
        <v>2.6</v>
      </c>
      <c r="C30" s="5" t="str">
        <f>'SAP Results'!C30</f>
        <v>Q-2</v>
      </c>
      <c r="D30" s="5" t="str">
        <f>'SAP Results'!D30</f>
        <v>LinStatic</v>
      </c>
      <c r="E30" s="5">
        <f>'SAP Results'!E30</f>
        <v>-90.078999999999994</v>
      </c>
      <c r="F30" s="5">
        <f>'SAP Results'!F30</f>
        <v>-17.451000000000001</v>
      </c>
      <c r="G30" s="5">
        <f>'SAP Results'!G30</f>
        <v>0</v>
      </c>
      <c r="H30" s="5">
        <f>'SAP Results'!H30</f>
        <v>0</v>
      </c>
      <c r="I30" s="5">
        <f>'SAP Results'!I30</f>
        <v>0</v>
      </c>
      <c r="J30" s="5">
        <f>'SAP Results'!J30</f>
        <v>12.855</v>
      </c>
      <c r="K30" s="5" t="str">
        <f>'SAP Results'!K30</f>
        <v>2-1</v>
      </c>
      <c r="L30" s="5">
        <f>'SAP Results'!L30</f>
        <v>2.6</v>
      </c>
    </row>
    <row r="31" spans="1:12" ht="15.75" hidden="1" customHeight="1">
      <c r="A31" s="6" t="str">
        <f>'SAP Results'!A31</f>
        <v>2</v>
      </c>
      <c r="B31" s="5">
        <f>'SAP Results'!B31</f>
        <v>5.2</v>
      </c>
      <c r="C31" s="5" t="str">
        <f>'SAP Results'!C31</f>
        <v>Q-2</v>
      </c>
      <c r="D31" s="5" t="str">
        <f>'SAP Results'!D31</f>
        <v>LinStatic</v>
      </c>
      <c r="E31" s="5">
        <f>'SAP Results'!E31</f>
        <v>-90.078999999999994</v>
      </c>
      <c r="F31" s="5">
        <f>'SAP Results'!F31</f>
        <v>-17.451000000000001</v>
      </c>
      <c r="G31" s="5">
        <f>'SAP Results'!G31</f>
        <v>0</v>
      </c>
      <c r="H31" s="5">
        <f>'SAP Results'!H31</f>
        <v>0</v>
      </c>
      <c r="I31" s="5">
        <f>'SAP Results'!I31</f>
        <v>0</v>
      </c>
      <c r="J31" s="5">
        <f>'SAP Results'!J31</f>
        <v>58.227400000000003</v>
      </c>
      <c r="K31" s="5" t="str">
        <f>'SAP Results'!K31</f>
        <v>2-1</v>
      </c>
      <c r="L31" s="5">
        <f>'SAP Results'!L31</f>
        <v>5.2</v>
      </c>
    </row>
    <row r="32" spans="1:12" ht="15.75" hidden="1" customHeight="1">
      <c r="A32" s="6" t="str">
        <f>'SAP Results'!A32</f>
        <v>3</v>
      </c>
      <c r="B32" s="5">
        <f>'SAP Results'!B32</f>
        <v>0</v>
      </c>
      <c r="C32" s="5" t="str">
        <f>'SAP Results'!C32</f>
        <v>EX</v>
      </c>
      <c r="D32" s="5" t="str">
        <f>'SAP Results'!D32</f>
        <v>LinStatic</v>
      </c>
      <c r="E32" s="5">
        <f>'SAP Results'!E32</f>
        <v>-18.693999999999999</v>
      </c>
      <c r="F32" s="5">
        <f>'SAP Results'!F32</f>
        <v>40.723999999999997</v>
      </c>
      <c r="G32" s="5">
        <f>'SAP Results'!G32</f>
        <v>0</v>
      </c>
      <c r="H32" s="5">
        <f>'SAP Results'!H32</f>
        <v>0</v>
      </c>
      <c r="I32" s="5">
        <f>'SAP Results'!I32</f>
        <v>0</v>
      </c>
      <c r="J32" s="5">
        <f>'SAP Results'!J32</f>
        <v>125.8599</v>
      </c>
      <c r="K32" s="5" t="str">
        <f>'SAP Results'!K32</f>
        <v>3-1</v>
      </c>
      <c r="L32" s="5">
        <f>'SAP Results'!L32</f>
        <v>0</v>
      </c>
    </row>
    <row r="33" spans="1:12" ht="15.75" hidden="1" customHeight="1">
      <c r="A33" s="6" t="str">
        <f>'SAP Results'!A33</f>
        <v>3</v>
      </c>
      <c r="B33" s="5">
        <f>'SAP Results'!B33</f>
        <v>2.6</v>
      </c>
      <c r="C33" s="5" t="str">
        <f>'SAP Results'!C33</f>
        <v>EX</v>
      </c>
      <c r="D33" s="5" t="str">
        <f>'SAP Results'!D33</f>
        <v>LinStatic</v>
      </c>
      <c r="E33" s="5">
        <f>'SAP Results'!E33</f>
        <v>-18.693999999999999</v>
      </c>
      <c r="F33" s="5">
        <f>'SAP Results'!F33</f>
        <v>40.723999999999997</v>
      </c>
      <c r="G33" s="5">
        <f>'SAP Results'!G33</f>
        <v>0</v>
      </c>
      <c r="H33" s="5">
        <f>'SAP Results'!H33</f>
        <v>0</v>
      </c>
      <c r="I33" s="5">
        <f>'SAP Results'!I33</f>
        <v>0</v>
      </c>
      <c r="J33" s="5">
        <f>'SAP Results'!J33</f>
        <v>19.977599999999999</v>
      </c>
      <c r="K33" s="5" t="str">
        <f>'SAP Results'!K33</f>
        <v>3-1</v>
      </c>
      <c r="L33" s="5">
        <f>'SAP Results'!L33</f>
        <v>2.6</v>
      </c>
    </row>
    <row r="34" spans="1:12" ht="15.75" hidden="1" customHeight="1">
      <c r="A34" s="6" t="str">
        <f>'SAP Results'!A34</f>
        <v>3</v>
      </c>
      <c r="B34" s="5">
        <f>'SAP Results'!B34</f>
        <v>5.2</v>
      </c>
      <c r="C34" s="5" t="str">
        <f>'SAP Results'!C34</f>
        <v>EX</v>
      </c>
      <c r="D34" s="5" t="str">
        <f>'SAP Results'!D34</f>
        <v>LinStatic</v>
      </c>
      <c r="E34" s="5">
        <f>'SAP Results'!E34</f>
        <v>-18.693999999999999</v>
      </c>
      <c r="F34" s="5">
        <f>'SAP Results'!F34</f>
        <v>40.723999999999997</v>
      </c>
      <c r="G34" s="5">
        <f>'SAP Results'!G34</f>
        <v>0</v>
      </c>
      <c r="H34" s="5">
        <f>'SAP Results'!H34</f>
        <v>0</v>
      </c>
      <c r="I34" s="5">
        <f>'SAP Results'!I34</f>
        <v>0</v>
      </c>
      <c r="J34" s="5">
        <f>'SAP Results'!J34</f>
        <v>-85.904799999999994</v>
      </c>
      <c r="K34" s="5" t="str">
        <f>'SAP Results'!K34</f>
        <v>3-1</v>
      </c>
      <c r="L34" s="5">
        <f>'SAP Results'!L34</f>
        <v>5.2</v>
      </c>
    </row>
    <row r="35" spans="1:12" ht="15.75" hidden="1" customHeight="1">
      <c r="A35" s="6" t="str">
        <f>'SAP Results'!A35</f>
        <v>3</v>
      </c>
      <c r="B35" s="5">
        <f>'SAP Results'!B35</f>
        <v>0</v>
      </c>
      <c r="C35" s="5" t="str">
        <f>'SAP Results'!C35</f>
        <v>G-1</v>
      </c>
      <c r="D35" s="5" t="str">
        <f>'SAP Results'!D35</f>
        <v>LinStatic</v>
      </c>
      <c r="E35" s="5">
        <f>'SAP Results'!E35</f>
        <v>10.212999999999999</v>
      </c>
      <c r="F35" s="5">
        <f>'SAP Results'!F35</f>
        <v>-1.0249999999999999</v>
      </c>
      <c r="G35" s="5">
        <f>'SAP Results'!G35</f>
        <v>0</v>
      </c>
      <c r="H35" s="5">
        <f>'SAP Results'!H35</f>
        <v>0</v>
      </c>
      <c r="I35" s="5">
        <f>'SAP Results'!I35</f>
        <v>0</v>
      </c>
      <c r="J35" s="5">
        <f>'SAP Results'!J35</f>
        <v>4.8253000000000004</v>
      </c>
      <c r="K35" s="5" t="str">
        <f>'SAP Results'!K35</f>
        <v>3-1</v>
      </c>
      <c r="L35" s="5">
        <f>'SAP Results'!L35</f>
        <v>0</v>
      </c>
    </row>
    <row r="36" spans="1:12" ht="15.75" hidden="1" customHeight="1">
      <c r="A36" s="6" t="str">
        <f>'SAP Results'!A36</f>
        <v>3</v>
      </c>
      <c r="B36" s="5">
        <f>'SAP Results'!B36</f>
        <v>2.6</v>
      </c>
      <c r="C36" s="5" t="str">
        <f>'SAP Results'!C36</f>
        <v>G-1</v>
      </c>
      <c r="D36" s="5" t="str">
        <f>'SAP Results'!D36</f>
        <v>LinStatic</v>
      </c>
      <c r="E36" s="5">
        <f>'SAP Results'!E36</f>
        <v>10.212999999999999</v>
      </c>
      <c r="F36" s="5">
        <f>'SAP Results'!F36</f>
        <v>-1.0249999999999999</v>
      </c>
      <c r="G36" s="5">
        <f>'SAP Results'!G36</f>
        <v>0</v>
      </c>
      <c r="H36" s="5">
        <f>'SAP Results'!H36</f>
        <v>0</v>
      </c>
      <c r="I36" s="5">
        <f>'SAP Results'!I36</f>
        <v>0</v>
      </c>
      <c r="J36" s="5">
        <f>'SAP Results'!J36</f>
        <v>7.4897999999999998</v>
      </c>
      <c r="K36" s="5" t="str">
        <f>'SAP Results'!K36</f>
        <v>3-1</v>
      </c>
      <c r="L36" s="5">
        <f>'SAP Results'!L36</f>
        <v>2.6</v>
      </c>
    </row>
    <row r="37" spans="1:12" ht="15.75" hidden="1" customHeight="1">
      <c r="A37" s="6" t="str">
        <f>'SAP Results'!A37</f>
        <v>3</v>
      </c>
      <c r="B37" s="5">
        <f>'SAP Results'!B37</f>
        <v>5.2</v>
      </c>
      <c r="C37" s="5" t="str">
        <f>'SAP Results'!C37</f>
        <v>G-1</v>
      </c>
      <c r="D37" s="5" t="str">
        <f>'SAP Results'!D37</f>
        <v>LinStatic</v>
      </c>
      <c r="E37" s="5">
        <f>'SAP Results'!E37</f>
        <v>10.212999999999999</v>
      </c>
      <c r="F37" s="5">
        <f>'SAP Results'!F37</f>
        <v>-1.0249999999999999</v>
      </c>
      <c r="G37" s="5">
        <f>'SAP Results'!G37</f>
        <v>0</v>
      </c>
      <c r="H37" s="5">
        <f>'SAP Results'!H37</f>
        <v>0</v>
      </c>
      <c r="I37" s="5">
        <f>'SAP Results'!I37</f>
        <v>0</v>
      </c>
      <c r="J37" s="5">
        <f>'SAP Results'!J37</f>
        <v>10.154299999999999</v>
      </c>
      <c r="K37" s="5" t="str">
        <f>'SAP Results'!K37</f>
        <v>3-1</v>
      </c>
      <c r="L37" s="5">
        <f>'SAP Results'!L37</f>
        <v>5.2</v>
      </c>
    </row>
    <row r="38" spans="1:12" ht="15.75" hidden="1" customHeight="1">
      <c r="A38" s="6" t="str">
        <f>'SAP Results'!A38</f>
        <v>3</v>
      </c>
      <c r="B38" s="5">
        <f>'SAP Results'!B38</f>
        <v>0</v>
      </c>
      <c r="C38" s="5" t="str">
        <f>'SAP Results'!C38</f>
        <v>G-2</v>
      </c>
      <c r="D38" s="5" t="str">
        <f>'SAP Results'!D38</f>
        <v>LinStatic</v>
      </c>
      <c r="E38" s="5">
        <f>'SAP Results'!E38</f>
        <v>-152.78200000000001</v>
      </c>
      <c r="F38" s="5">
        <f>'SAP Results'!F38</f>
        <v>33.564999999999998</v>
      </c>
      <c r="G38" s="5">
        <f>'SAP Results'!G38</f>
        <v>0</v>
      </c>
      <c r="H38" s="5">
        <f>'SAP Results'!H38</f>
        <v>0</v>
      </c>
      <c r="I38" s="5">
        <f>'SAP Results'!I38</f>
        <v>0</v>
      </c>
      <c r="J38" s="5">
        <f>'SAP Results'!J38</f>
        <v>49.655099999999997</v>
      </c>
      <c r="K38" s="5" t="str">
        <f>'SAP Results'!K38</f>
        <v>3-1</v>
      </c>
      <c r="L38" s="5">
        <f>'SAP Results'!L38</f>
        <v>0</v>
      </c>
    </row>
    <row r="39" spans="1:12" ht="15.75" hidden="1" customHeight="1">
      <c r="A39" s="6" t="str">
        <f>'SAP Results'!A39</f>
        <v>3</v>
      </c>
      <c r="B39" s="5">
        <f>'SAP Results'!B39</f>
        <v>2.6</v>
      </c>
      <c r="C39" s="5" t="str">
        <f>'SAP Results'!C39</f>
        <v>G-2</v>
      </c>
      <c r="D39" s="5" t="str">
        <f>'SAP Results'!D39</f>
        <v>LinStatic</v>
      </c>
      <c r="E39" s="5">
        <f>'SAP Results'!E39</f>
        <v>-152.78200000000001</v>
      </c>
      <c r="F39" s="5">
        <f>'SAP Results'!F39</f>
        <v>33.564999999999998</v>
      </c>
      <c r="G39" s="5">
        <f>'SAP Results'!G39</f>
        <v>0</v>
      </c>
      <c r="H39" s="5">
        <f>'SAP Results'!H39</f>
        <v>0</v>
      </c>
      <c r="I39" s="5">
        <f>'SAP Results'!I39</f>
        <v>0</v>
      </c>
      <c r="J39" s="5">
        <f>'SAP Results'!J39</f>
        <v>-37.613599999999998</v>
      </c>
      <c r="K39" s="5" t="str">
        <f>'SAP Results'!K39</f>
        <v>3-1</v>
      </c>
      <c r="L39" s="5">
        <f>'SAP Results'!L39</f>
        <v>2.6</v>
      </c>
    </row>
    <row r="40" spans="1:12" ht="15.75" hidden="1" customHeight="1">
      <c r="A40" s="6" t="str">
        <f>'SAP Results'!A40</f>
        <v>3</v>
      </c>
      <c r="B40" s="5">
        <f>'SAP Results'!B40</f>
        <v>5.2</v>
      </c>
      <c r="C40" s="5" t="str">
        <f>'SAP Results'!C40</f>
        <v>G-2</v>
      </c>
      <c r="D40" s="5" t="str">
        <f>'SAP Results'!D40</f>
        <v>LinStatic</v>
      </c>
      <c r="E40" s="5">
        <f>'SAP Results'!E40</f>
        <v>-152.78200000000001</v>
      </c>
      <c r="F40" s="5">
        <f>'SAP Results'!F40</f>
        <v>33.564999999999998</v>
      </c>
      <c r="G40" s="5">
        <f>'SAP Results'!G40</f>
        <v>0</v>
      </c>
      <c r="H40" s="5">
        <f>'SAP Results'!H40</f>
        <v>0</v>
      </c>
      <c r="I40" s="5">
        <f>'SAP Results'!I40</f>
        <v>0</v>
      </c>
      <c r="J40" s="5">
        <f>'SAP Results'!J40</f>
        <v>-124.8822</v>
      </c>
      <c r="K40" s="5" t="str">
        <f>'SAP Results'!K40</f>
        <v>3-1</v>
      </c>
      <c r="L40" s="5">
        <f>'SAP Results'!L40</f>
        <v>5.2</v>
      </c>
    </row>
    <row r="41" spans="1:12" ht="15.75" customHeight="1">
      <c r="A41" s="6" t="str">
        <f>'SAP Results'!A41</f>
        <v>3</v>
      </c>
      <c r="B41" s="5">
        <f>'SAP Results'!B41</f>
        <v>0</v>
      </c>
      <c r="C41" s="5" t="str">
        <f>'SAP Results'!C41</f>
        <v>Q-1</v>
      </c>
      <c r="D41" s="5" t="str">
        <f>'SAP Results'!D41</f>
        <v>LinStatic</v>
      </c>
      <c r="E41" s="5">
        <f>'SAP Results'!E41</f>
        <v>5.1529999999999996</v>
      </c>
      <c r="F41" s="5">
        <f>'SAP Results'!F41</f>
        <v>-0.51700000000000002</v>
      </c>
      <c r="G41" s="5">
        <f>'SAP Results'!G41</f>
        <v>0</v>
      </c>
      <c r="H41" s="5">
        <f>'SAP Results'!H41</f>
        <v>0</v>
      </c>
      <c r="I41" s="5">
        <f>'SAP Results'!I41</f>
        <v>0</v>
      </c>
      <c r="J41" s="5">
        <f>'SAP Results'!J41</f>
        <v>2.4344000000000001</v>
      </c>
      <c r="K41" s="5" t="str">
        <f>'SAP Results'!K41</f>
        <v>3-1</v>
      </c>
      <c r="L41" s="5">
        <f>'SAP Results'!L41</f>
        <v>0</v>
      </c>
    </row>
    <row r="42" spans="1:12" ht="15.75" customHeight="1">
      <c r="A42" s="6" t="str">
        <f>'SAP Results'!A42</f>
        <v>3</v>
      </c>
      <c r="B42" s="5">
        <f>'SAP Results'!B42</f>
        <v>2.6</v>
      </c>
      <c r="C42" s="5" t="str">
        <f>'SAP Results'!C42</f>
        <v>Q-1</v>
      </c>
      <c r="D42" s="5" t="str">
        <f>'SAP Results'!D42</f>
        <v>LinStatic</v>
      </c>
      <c r="E42" s="5">
        <f>'SAP Results'!E42</f>
        <v>5.1529999999999996</v>
      </c>
      <c r="F42" s="5">
        <f>'SAP Results'!F42</f>
        <v>-0.51700000000000002</v>
      </c>
      <c r="G42" s="5">
        <f>'SAP Results'!G42</f>
        <v>0</v>
      </c>
      <c r="H42" s="5">
        <f>'SAP Results'!H42</f>
        <v>0</v>
      </c>
      <c r="I42" s="5">
        <f>'SAP Results'!I42</f>
        <v>0</v>
      </c>
      <c r="J42" s="5">
        <f>'SAP Results'!J42</f>
        <v>3.7787000000000002</v>
      </c>
      <c r="K42" s="5" t="str">
        <f>'SAP Results'!K42</f>
        <v>3-1</v>
      </c>
      <c r="L42" s="5">
        <f>'SAP Results'!L42</f>
        <v>2.6</v>
      </c>
    </row>
    <row r="43" spans="1:12" ht="15.75" customHeight="1">
      <c r="A43" s="6" t="str">
        <f>'SAP Results'!A43</f>
        <v>3</v>
      </c>
      <c r="B43" s="5">
        <f>'SAP Results'!B43</f>
        <v>5.2</v>
      </c>
      <c r="C43" s="5" t="str">
        <f>'SAP Results'!C43</f>
        <v>Q-1</v>
      </c>
      <c r="D43" s="5" t="str">
        <f>'SAP Results'!D43</f>
        <v>LinStatic</v>
      </c>
      <c r="E43" s="5">
        <f>'SAP Results'!E43</f>
        <v>5.1529999999999996</v>
      </c>
      <c r="F43" s="5">
        <f>'SAP Results'!F43</f>
        <v>-0.51700000000000002</v>
      </c>
      <c r="G43" s="5">
        <f>'SAP Results'!G43</f>
        <v>0</v>
      </c>
      <c r="H43" s="5">
        <f>'SAP Results'!H43</f>
        <v>0</v>
      </c>
      <c r="I43" s="5">
        <f>'SAP Results'!I43</f>
        <v>0</v>
      </c>
      <c r="J43" s="5">
        <f>'SAP Results'!J43</f>
        <v>5.1230000000000002</v>
      </c>
      <c r="K43" s="5" t="str">
        <f>'SAP Results'!K43</f>
        <v>3-1</v>
      </c>
      <c r="L43" s="5">
        <f>'SAP Results'!L43</f>
        <v>5.2</v>
      </c>
    </row>
    <row r="44" spans="1:12" ht="15.75" hidden="1" customHeight="1">
      <c r="A44" s="6" t="str">
        <f>'SAP Results'!A44</f>
        <v>3</v>
      </c>
      <c r="B44" s="5">
        <f>'SAP Results'!B44</f>
        <v>0</v>
      </c>
      <c r="C44" s="5" t="str">
        <f>'SAP Results'!C44</f>
        <v>Q-2</v>
      </c>
      <c r="D44" s="5" t="str">
        <f>'SAP Results'!D44</f>
        <v>LinStatic</v>
      </c>
      <c r="E44" s="5">
        <f>'SAP Results'!E44</f>
        <v>-77.08</v>
      </c>
      <c r="F44" s="5">
        <f>'SAP Results'!F44</f>
        <v>16.934000000000001</v>
      </c>
      <c r="G44" s="5">
        <f>'SAP Results'!G44</f>
        <v>0</v>
      </c>
      <c r="H44" s="5">
        <f>'SAP Results'!H44</f>
        <v>0</v>
      </c>
      <c r="I44" s="5">
        <f>'SAP Results'!I44</f>
        <v>0</v>
      </c>
      <c r="J44" s="5">
        <f>'SAP Results'!J44</f>
        <v>25.051600000000001</v>
      </c>
      <c r="K44" s="5" t="str">
        <f>'SAP Results'!K44</f>
        <v>3-1</v>
      </c>
      <c r="L44" s="5">
        <f>'SAP Results'!L44</f>
        <v>0</v>
      </c>
    </row>
    <row r="45" spans="1:12" ht="15.75" hidden="1" customHeight="1">
      <c r="A45" s="6" t="str">
        <f>'SAP Results'!A45</f>
        <v>3</v>
      </c>
      <c r="B45" s="5">
        <f>'SAP Results'!B45</f>
        <v>2.6</v>
      </c>
      <c r="C45" s="5" t="str">
        <f>'SAP Results'!C45</f>
        <v>Q-2</v>
      </c>
      <c r="D45" s="5" t="str">
        <f>'SAP Results'!D45</f>
        <v>LinStatic</v>
      </c>
      <c r="E45" s="5">
        <f>'SAP Results'!E45</f>
        <v>-77.08</v>
      </c>
      <c r="F45" s="5">
        <f>'SAP Results'!F45</f>
        <v>16.934000000000001</v>
      </c>
      <c r="G45" s="5">
        <f>'SAP Results'!G45</f>
        <v>0</v>
      </c>
      <c r="H45" s="5">
        <f>'SAP Results'!H45</f>
        <v>0</v>
      </c>
      <c r="I45" s="5">
        <f>'SAP Results'!I45</f>
        <v>0</v>
      </c>
      <c r="J45" s="5">
        <f>'SAP Results'!J45</f>
        <v>-18.976500000000001</v>
      </c>
      <c r="K45" s="5" t="str">
        <f>'SAP Results'!K45</f>
        <v>3-1</v>
      </c>
      <c r="L45" s="5">
        <f>'SAP Results'!L45</f>
        <v>2.6</v>
      </c>
    </row>
    <row r="46" spans="1:12" ht="15.75" hidden="1" customHeight="1">
      <c r="A46" s="6" t="str">
        <f>'SAP Results'!A46</f>
        <v>3</v>
      </c>
      <c r="B46" s="5">
        <f>'SAP Results'!B46</f>
        <v>5.2</v>
      </c>
      <c r="C46" s="5" t="str">
        <f>'SAP Results'!C46</f>
        <v>Q-2</v>
      </c>
      <c r="D46" s="5" t="str">
        <f>'SAP Results'!D46</f>
        <v>LinStatic</v>
      </c>
      <c r="E46" s="5">
        <f>'SAP Results'!E46</f>
        <v>-77.08</v>
      </c>
      <c r="F46" s="5">
        <f>'SAP Results'!F46</f>
        <v>16.934000000000001</v>
      </c>
      <c r="G46" s="5">
        <f>'SAP Results'!G46</f>
        <v>0</v>
      </c>
      <c r="H46" s="5">
        <f>'SAP Results'!H46</f>
        <v>0</v>
      </c>
      <c r="I46" s="5">
        <f>'SAP Results'!I46</f>
        <v>0</v>
      </c>
      <c r="J46" s="5">
        <f>'SAP Results'!J46</f>
        <v>-63.004600000000003</v>
      </c>
      <c r="K46" s="5" t="str">
        <f>'SAP Results'!K46</f>
        <v>3-1</v>
      </c>
      <c r="L46" s="5">
        <f>'SAP Results'!L46</f>
        <v>5.2</v>
      </c>
    </row>
    <row r="47" spans="1:12" ht="15.75" hidden="1" customHeight="1">
      <c r="A47" s="6" t="str">
        <f>'SAP Results'!A47</f>
        <v>4</v>
      </c>
      <c r="B47" s="5">
        <f>'SAP Results'!B47</f>
        <v>0</v>
      </c>
      <c r="C47" s="5" t="str">
        <f>'SAP Results'!C47</f>
        <v>EX</v>
      </c>
      <c r="D47" s="5" t="str">
        <f>'SAP Results'!D47</f>
        <v>LinStatic</v>
      </c>
      <c r="E47" s="5">
        <f>'SAP Results'!E47</f>
        <v>0</v>
      </c>
      <c r="F47" s="5">
        <f>'SAP Results'!F47</f>
        <v>18.693999999999999</v>
      </c>
      <c r="G47" s="5">
        <f>'SAP Results'!G47</f>
        <v>0</v>
      </c>
      <c r="H47" s="5">
        <f>'SAP Results'!H47</f>
        <v>0</v>
      </c>
      <c r="I47" s="5">
        <f>'SAP Results'!I47</f>
        <v>0</v>
      </c>
      <c r="J47" s="5">
        <f>'SAP Results'!J47</f>
        <v>85.904799999999994</v>
      </c>
      <c r="K47" s="5" t="str">
        <f>'SAP Results'!K47</f>
        <v>4-1</v>
      </c>
      <c r="L47" s="5">
        <f>'SAP Results'!L47</f>
        <v>0</v>
      </c>
    </row>
    <row r="48" spans="1:12" ht="15.75" hidden="1" customHeight="1">
      <c r="A48" s="6" t="str">
        <f>'SAP Results'!A48</f>
        <v>4</v>
      </c>
      <c r="B48" s="5">
        <f>'SAP Results'!B48</f>
        <v>1.0062500000000001</v>
      </c>
      <c r="C48" s="5" t="str">
        <f>'SAP Results'!C48</f>
        <v>EX</v>
      </c>
      <c r="D48" s="5" t="str">
        <f>'SAP Results'!D48</f>
        <v>LinStatic</v>
      </c>
      <c r="E48" s="5">
        <f>'SAP Results'!E48</f>
        <v>0</v>
      </c>
      <c r="F48" s="5">
        <f>'SAP Results'!F48</f>
        <v>18.693999999999999</v>
      </c>
      <c r="G48" s="5">
        <f>'SAP Results'!G48</f>
        <v>0</v>
      </c>
      <c r="H48" s="5">
        <f>'SAP Results'!H48</f>
        <v>0</v>
      </c>
      <c r="I48" s="5">
        <f>'SAP Results'!I48</f>
        <v>0</v>
      </c>
      <c r="J48" s="5">
        <f>'SAP Results'!J48</f>
        <v>67.094200000000001</v>
      </c>
      <c r="K48" s="5" t="str">
        <f>'SAP Results'!K48</f>
        <v>4-1</v>
      </c>
      <c r="L48" s="5">
        <f>'SAP Results'!L48</f>
        <v>1.0062500000000001</v>
      </c>
    </row>
    <row r="49" spans="1:12" ht="15.75" hidden="1" customHeight="1">
      <c r="A49" s="6" t="str">
        <f>'SAP Results'!A49</f>
        <v>4</v>
      </c>
      <c r="B49" s="5">
        <f>'SAP Results'!B49</f>
        <v>2.0125000000000002</v>
      </c>
      <c r="C49" s="5" t="str">
        <f>'SAP Results'!C49</f>
        <v>EX</v>
      </c>
      <c r="D49" s="5" t="str">
        <f>'SAP Results'!D49</f>
        <v>LinStatic</v>
      </c>
      <c r="E49" s="5">
        <f>'SAP Results'!E49</f>
        <v>0</v>
      </c>
      <c r="F49" s="5">
        <f>'SAP Results'!F49</f>
        <v>18.693999999999999</v>
      </c>
      <c r="G49" s="5">
        <f>'SAP Results'!G49</f>
        <v>0</v>
      </c>
      <c r="H49" s="5">
        <f>'SAP Results'!H49</f>
        <v>0</v>
      </c>
      <c r="I49" s="5">
        <f>'SAP Results'!I49</f>
        <v>0</v>
      </c>
      <c r="J49" s="5">
        <f>'SAP Results'!J49</f>
        <v>48.283700000000003</v>
      </c>
      <c r="K49" s="5" t="str">
        <f>'SAP Results'!K49</f>
        <v>4-1</v>
      </c>
      <c r="L49" s="5">
        <f>'SAP Results'!L49</f>
        <v>2.0125000000000002</v>
      </c>
    </row>
    <row r="50" spans="1:12" ht="15.75" hidden="1" customHeight="1">
      <c r="A50" s="6" t="str">
        <f>'SAP Results'!A50</f>
        <v>4</v>
      </c>
      <c r="B50" s="5">
        <f>'SAP Results'!B50</f>
        <v>3.0187499999999998</v>
      </c>
      <c r="C50" s="5" t="str">
        <f>'SAP Results'!C50</f>
        <v>EX</v>
      </c>
      <c r="D50" s="5" t="str">
        <f>'SAP Results'!D50</f>
        <v>LinStatic</v>
      </c>
      <c r="E50" s="5">
        <f>'SAP Results'!E50</f>
        <v>0</v>
      </c>
      <c r="F50" s="5">
        <f>'SAP Results'!F50</f>
        <v>18.693999999999999</v>
      </c>
      <c r="G50" s="5">
        <f>'SAP Results'!G50</f>
        <v>0</v>
      </c>
      <c r="H50" s="5">
        <f>'SAP Results'!H50</f>
        <v>0</v>
      </c>
      <c r="I50" s="5">
        <f>'SAP Results'!I50</f>
        <v>0</v>
      </c>
      <c r="J50" s="5">
        <f>'SAP Results'!J50</f>
        <v>29.473199999999999</v>
      </c>
      <c r="K50" s="5" t="str">
        <f>'SAP Results'!K50</f>
        <v>4-1</v>
      </c>
      <c r="L50" s="5">
        <f>'SAP Results'!L50</f>
        <v>3.0187499999999998</v>
      </c>
    </row>
    <row r="51" spans="1:12" ht="15.75" hidden="1" customHeight="1">
      <c r="A51" s="6" t="str">
        <f>'SAP Results'!A51</f>
        <v>4</v>
      </c>
      <c r="B51" s="5">
        <f>'SAP Results'!B51</f>
        <v>4.0250000000000004</v>
      </c>
      <c r="C51" s="5" t="str">
        <f>'SAP Results'!C51</f>
        <v>EX</v>
      </c>
      <c r="D51" s="5" t="str">
        <f>'SAP Results'!D51</f>
        <v>LinStatic</v>
      </c>
      <c r="E51" s="5">
        <f>'SAP Results'!E51</f>
        <v>0</v>
      </c>
      <c r="F51" s="5">
        <f>'SAP Results'!F51</f>
        <v>18.693999999999999</v>
      </c>
      <c r="G51" s="5">
        <f>'SAP Results'!G51</f>
        <v>0</v>
      </c>
      <c r="H51" s="5">
        <f>'SAP Results'!H51</f>
        <v>0</v>
      </c>
      <c r="I51" s="5">
        <f>'SAP Results'!I51</f>
        <v>0</v>
      </c>
      <c r="J51" s="5">
        <f>'SAP Results'!J51</f>
        <v>10.662599999999999</v>
      </c>
      <c r="K51" s="5" t="str">
        <f>'SAP Results'!K51</f>
        <v>4-1</v>
      </c>
      <c r="L51" s="5">
        <f>'SAP Results'!L51</f>
        <v>4.0250000000000004</v>
      </c>
    </row>
    <row r="52" spans="1:12" ht="15.75" hidden="1" customHeight="1">
      <c r="A52" s="6" t="str">
        <f>'SAP Results'!A52</f>
        <v>4</v>
      </c>
      <c r="B52" s="5">
        <f>'SAP Results'!B52</f>
        <v>5.03125</v>
      </c>
      <c r="C52" s="5" t="str">
        <f>'SAP Results'!C52</f>
        <v>EX</v>
      </c>
      <c r="D52" s="5" t="str">
        <f>'SAP Results'!D52</f>
        <v>LinStatic</v>
      </c>
      <c r="E52" s="5">
        <f>'SAP Results'!E52</f>
        <v>0</v>
      </c>
      <c r="F52" s="5">
        <f>'SAP Results'!F52</f>
        <v>18.693999999999999</v>
      </c>
      <c r="G52" s="5">
        <f>'SAP Results'!G52</f>
        <v>0</v>
      </c>
      <c r="H52" s="5">
        <f>'SAP Results'!H52</f>
        <v>0</v>
      </c>
      <c r="I52" s="5">
        <f>'SAP Results'!I52</f>
        <v>0</v>
      </c>
      <c r="J52" s="5">
        <f>'SAP Results'!J52</f>
        <v>-8.1478999999999999</v>
      </c>
      <c r="K52" s="5" t="str">
        <f>'SAP Results'!K52</f>
        <v>4-1</v>
      </c>
      <c r="L52" s="5">
        <f>'SAP Results'!L52</f>
        <v>5.03125</v>
      </c>
    </row>
    <row r="53" spans="1:12" ht="15.75" hidden="1" customHeight="1">
      <c r="A53" s="6" t="str">
        <f>'SAP Results'!A53</f>
        <v>4</v>
      </c>
      <c r="B53" s="5">
        <f>'SAP Results'!B53</f>
        <v>6.0374999999999996</v>
      </c>
      <c r="C53" s="5" t="str">
        <f>'SAP Results'!C53</f>
        <v>EX</v>
      </c>
      <c r="D53" s="5" t="str">
        <f>'SAP Results'!D53</f>
        <v>LinStatic</v>
      </c>
      <c r="E53" s="5">
        <f>'SAP Results'!E53</f>
        <v>0</v>
      </c>
      <c r="F53" s="5">
        <f>'SAP Results'!F53</f>
        <v>18.693999999999999</v>
      </c>
      <c r="G53" s="5">
        <f>'SAP Results'!G53</f>
        <v>0</v>
      </c>
      <c r="H53" s="5">
        <f>'SAP Results'!H53</f>
        <v>0</v>
      </c>
      <c r="I53" s="5">
        <f>'SAP Results'!I53</f>
        <v>0</v>
      </c>
      <c r="J53" s="5">
        <f>'SAP Results'!J53</f>
        <v>-26.958400000000001</v>
      </c>
      <c r="K53" s="5" t="str">
        <f>'SAP Results'!K53</f>
        <v>4-1</v>
      </c>
      <c r="L53" s="5">
        <f>'SAP Results'!L53</f>
        <v>6.0374999999999996</v>
      </c>
    </row>
    <row r="54" spans="1:12" ht="15.75" hidden="1" customHeight="1">
      <c r="A54" s="6" t="str">
        <f>'SAP Results'!A54</f>
        <v>4</v>
      </c>
      <c r="B54" s="5">
        <f>'SAP Results'!B54</f>
        <v>7.0437500000000002</v>
      </c>
      <c r="C54" s="5" t="str">
        <f>'SAP Results'!C54</f>
        <v>EX</v>
      </c>
      <c r="D54" s="5" t="str">
        <f>'SAP Results'!D54</f>
        <v>LinStatic</v>
      </c>
      <c r="E54" s="5">
        <f>'SAP Results'!E54</f>
        <v>0</v>
      </c>
      <c r="F54" s="5">
        <f>'SAP Results'!F54</f>
        <v>18.693999999999999</v>
      </c>
      <c r="G54" s="5">
        <f>'SAP Results'!G54</f>
        <v>0</v>
      </c>
      <c r="H54" s="5">
        <f>'SAP Results'!H54</f>
        <v>0</v>
      </c>
      <c r="I54" s="5">
        <f>'SAP Results'!I54</f>
        <v>0</v>
      </c>
      <c r="J54" s="5">
        <f>'SAP Results'!J54</f>
        <v>-45.768900000000002</v>
      </c>
      <c r="K54" s="5" t="str">
        <f>'SAP Results'!K54</f>
        <v>4-1</v>
      </c>
      <c r="L54" s="5">
        <f>'SAP Results'!L54</f>
        <v>7.0437500000000002</v>
      </c>
    </row>
    <row r="55" spans="1:12" ht="15.75" hidden="1" customHeight="1">
      <c r="A55" s="6" t="str">
        <f>'SAP Results'!A55</f>
        <v>4</v>
      </c>
      <c r="B55" s="5">
        <f>'SAP Results'!B55</f>
        <v>8.0500000000000007</v>
      </c>
      <c r="C55" s="5" t="str">
        <f>'SAP Results'!C55</f>
        <v>EX</v>
      </c>
      <c r="D55" s="5" t="str">
        <f>'SAP Results'!D55</f>
        <v>LinStatic</v>
      </c>
      <c r="E55" s="5">
        <f>'SAP Results'!E55</f>
        <v>0</v>
      </c>
      <c r="F55" s="5">
        <f>'SAP Results'!F55</f>
        <v>18.693999999999999</v>
      </c>
      <c r="G55" s="5">
        <f>'SAP Results'!G55</f>
        <v>0</v>
      </c>
      <c r="H55" s="5">
        <f>'SAP Results'!H55</f>
        <v>0</v>
      </c>
      <c r="I55" s="5">
        <f>'SAP Results'!I55</f>
        <v>0</v>
      </c>
      <c r="J55" s="5">
        <f>'SAP Results'!J55</f>
        <v>-64.579499999999996</v>
      </c>
      <c r="K55" s="5" t="str">
        <f>'SAP Results'!K55</f>
        <v>4-1</v>
      </c>
      <c r="L55" s="5">
        <f>'SAP Results'!L55</f>
        <v>8.0500000000000007</v>
      </c>
    </row>
    <row r="56" spans="1:12" ht="15.75" hidden="1" customHeight="1">
      <c r="A56" s="6" t="str">
        <f>'SAP Results'!A56</f>
        <v>4</v>
      </c>
      <c r="B56" s="5">
        <f>'SAP Results'!B56</f>
        <v>0</v>
      </c>
      <c r="C56" s="5" t="str">
        <f>'SAP Results'!C56</f>
        <v>G-1</v>
      </c>
      <c r="D56" s="5" t="str">
        <f>'SAP Results'!D56</f>
        <v>LinStatic</v>
      </c>
      <c r="E56" s="5">
        <f>'SAP Results'!E56</f>
        <v>0</v>
      </c>
      <c r="F56" s="5">
        <f>'SAP Results'!F56</f>
        <v>-152.78200000000001</v>
      </c>
      <c r="G56" s="5">
        <f>'SAP Results'!G56</f>
        <v>0</v>
      </c>
      <c r="H56" s="5">
        <f>'SAP Results'!H56</f>
        <v>0</v>
      </c>
      <c r="I56" s="5">
        <f>'SAP Results'!I56</f>
        <v>0</v>
      </c>
      <c r="J56" s="5">
        <f>'SAP Results'!J56</f>
        <v>-124.8822</v>
      </c>
      <c r="K56" s="5" t="str">
        <f>'SAP Results'!K56</f>
        <v>4-1</v>
      </c>
      <c r="L56" s="5">
        <f>'SAP Results'!L56</f>
        <v>0</v>
      </c>
    </row>
    <row r="57" spans="1:12" ht="15.75" hidden="1" customHeight="1">
      <c r="A57" s="6" t="str">
        <f>'SAP Results'!A57</f>
        <v>4</v>
      </c>
      <c r="B57" s="5">
        <f>'SAP Results'!B57</f>
        <v>1.0062500000000001</v>
      </c>
      <c r="C57" s="5" t="str">
        <f>'SAP Results'!C57</f>
        <v>G-1</v>
      </c>
      <c r="D57" s="5" t="str">
        <f>'SAP Results'!D57</f>
        <v>LinStatic</v>
      </c>
      <c r="E57" s="5">
        <f>'SAP Results'!E57</f>
        <v>0</v>
      </c>
      <c r="F57" s="5">
        <f>'SAP Results'!F57</f>
        <v>-112.642</v>
      </c>
      <c r="G57" s="5">
        <f>'SAP Results'!G57</f>
        <v>0</v>
      </c>
      <c r="H57" s="5">
        <f>'SAP Results'!H57</f>
        <v>0</v>
      </c>
      <c r="I57" s="5">
        <f>'SAP Results'!I57</f>
        <v>0</v>
      </c>
      <c r="J57" s="5">
        <f>'SAP Results'!J57</f>
        <v>8.6593</v>
      </c>
      <c r="K57" s="5" t="str">
        <f>'SAP Results'!K57</f>
        <v>4-1</v>
      </c>
      <c r="L57" s="5">
        <f>'SAP Results'!L57</f>
        <v>1.0062500000000001</v>
      </c>
    </row>
    <row r="58" spans="1:12" ht="15.75" hidden="1" customHeight="1">
      <c r="A58" s="6" t="str">
        <f>'SAP Results'!A58</f>
        <v>4</v>
      </c>
      <c r="B58" s="5">
        <f>'SAP Results'!B58</f>
        <v>2.0125000000000002</v>
      </c>
      <c r="C58" s="5" t="str">
        <f>'SAP Results'!C58</f>
        <v>G-1</v>
      </c>
      <c r="D58" s="5" t="str">
        <f>'SAP Results'!D58</f>
        <v>LinStatic</v>
      </c>
      <c r="E58" s="5">
        <f>'SAP Results'!E58</f>
        <v>0</v>
      </c>
      <c r="F58" s="5">
        <f>'SAP Results'!F58</f>
        <v>-72.503</v>
      </c>
      <c r="G58" s="5">
        <f>'SAP Results'!G58</f>
        <v>0</v>
      </c>
      <c r="H58" s="5">
        <f>'SAP Results'!H58</f>
        <v>0</v>
      </c>
      <c r="I58" s="5">
        <f>'SAP Results'!I58</f>
        <v>0</v>
      </c>
      <c r="J58" s="5">
        <f>'SAP Results'!J58</f>
        <v>101.81059999999999</v>
      </c>
      <c r="K58" s="5" t="str">
        <f>'SAP Results'!K58</f>
        <v>4-1</v>
      </c>
      <c r="L58" s="5">
        <f>'SAP Results'!L58</f>
        <v>2.0125000000000002</v>
      </c>
    </row>
    <row r="59" spans="1:12" ht="15.75" hidden="1" customHeight="1">
      <c r="A59" s="6" t="str">
        <f>'SAP Results'!A59</f>
        <v>4</v>
      </c>
      <c r="B59" s="5">
        <f>'SAP Results'!B59</f>
        <v>3.0187499999999998</v>
      </c>
      <c r="C59" s="5" t="str">
        <f>'SAP Results'!C59</f>
        <v>G-1</v>
      </c>
      <c r="D59" s="5" t="str">
        <f>'SAP Results'!D59</f>
        <v>LinStatic</v>
      </c>
      <c r="E59" s="5">
        <f>'SAP Results'!E59</f>
        <v>0</v>
      </c>
      <c r="F59" s="5">
        <f>'SAP Results'!F59</f>
        <v>-32.363999999999997</v>
      </c>
      <c r="G59" s="5">
        <f>'SAP Results'!G59</f>
        <v>0</v>
      </c>
      <c r="H59" s="5">
        <f>'SAP Results'!H59</f>
        <v>0</v>
      </c>
      <c r="I59" s="5">
        <f>'SAP Results'!I59</f>
        <v>0</v>
      </c>
      <c r="J59" s="5">
        <f>'SAP Results'!J59</f>
        <v>154.5718</v>
      </c>
      <c r="K59" s="5" t="str">
        <f>'SAP Results'!K59</f>
        <v>4-1</v>
      </c>
      <c r="L59" s="5">
        <f>'SAP Results'!L59</f>
        <v>3.0187499999999998</v>
      </c>
    </row>
    <row r="60" spans="1:12" ht="15.75" hidden="1" customHeight="1">
      <c r="A60" s="6" t="str">
        <f>'SAP Results'!A60</f>
        <v>4</v>
      </c>
      <c r="B60" s="5">
        <f>'SAP Results'!B60</f>
        <v>4.0250000000000004</v>
      </c>
      <c r="C60" s="5" t="str">
        <f>'SAP Results'!C60</f>
        <v>G-1</v>
      </c>
      <c r="D60" s="5" t="str">
        <f>'SAP Results'!D60</f>
        <v>LinStatic</v>
      </c>
      <c r="E60" s="5">
        <f>'SAP Results'!E60</f>
        <v>0</v>
      </c>
      <c r="F60" s="5">
        <f>'SAP Results'!F60</f>
        <v>7.7759999999999998</v>
      </c>
      <c r="G60" s="5">
        <f>'SAP Results'!G60</f>
        <v>0</v>
      </c>
      <c r="H60" s="5">
        <f>'SAP Results'!H60</f>
        <v>0</v>
      </c>
      <c r="I60" s="5">
        <f>'SAP Results'!I60</f>
        <v>0</v>
      </c>
      <c r="J60" s="5">
        <f>'SAP Results'!J60</f>
        <v>166.9427</v>
      </c>
      <c r="K60" s="5" t="str">
        <f>'SAP Results'!K60</f>
        <v>4-1</v>
      </c>
      <c r="L60" s="5">
        <f>'SAP Results'!L60</f>
        <v>4.0250000000000004</v>
      </c>
    </row>
    <row r="61" spans="1:12" ht="15.75" hidden="1" customHeight="1">
      <c r="A61" s="6" t="str">
        <f>'SAP Results'!A61</f>
        <v>4</v>
      </c>
      <c r="B61" s="5">
        <f>'SAP Results'!B61</f>
        <v>5.03125</v>
      </c>
      <c r="C61" s="5" t="str">
        <f>'SAP Results'!C61</f>
        <v>G-1</v>
      </c>
      <c r="D61" s="5" t="str">
        <f>'SAP Results'!D61</f>
        <v>LinStatic</v>
      </c>
      <c r="E61" s="5">
        <f>'SAP Results'!E61</f>
        <v>0</v>
      </c>
      <c r="F61" s="5">
        <f>'SAP Results'!F61</f>
        <v>47.914999999999999</v>
      </c>
      <c r="G61" s="5">
        <f>'SAP Results'!G61</f>
        <v>0</v>
      </c>
      <c r="H61" s="5">
        <f>'SAP Results'!H61</f>
        <v>0</v>
      </c>
      <c r="I61" s="5">
        <f>'SAP Results'!I61</f>
        <v>0</v>
      </c>
      <c r="J61" s="5">
        <f>'SAP Results'!J61</f>
        <v>138.92349999999999</v>
      </c>
      <c r="K61" s="5" t="str">
        <f>'SAP Results'!K61</f>
        <v>4-1</v>
      </c>
      <c r="L61" s="5">
        <f>'SAP Results'!L61</f>
        <v>5.03125</v>
      </c>
    </row>
    <row r="62" spans="1:12" ht="15.75" hidden="1" customHeight="1">
      <c r="A62" s="6" t="str">
        <f>'SAP Results'!A62</f>
        <v>4</v>
      </c>
      <c r="B62" s="5">
        <f>'SAP Results'!B62</f>
        <v>6.0374999999999996</v>
      </c>
      <c r="C62" s="5" t="str">
        <f>'SAP Results'!C62</f>
        <v>G-1</v>
      </c>
      <c r="D62" s="5" t="str">
        <f>'SAP Results'!D62</f>
        <v>LinStatic</v>
      </c>
      <c r="E62" s="5">
        <f>'SAP Results'!E62</f>
        <v>0</v>
      </c>
      <c r="F62" s="5">
        <f>'SAP Results'!F62</f>
        <v>88.054000000000002</v>
      </c>
      <c r="G62" s="5">
        <f>'SAP Results'!G62</f>
        <v>0</v>
      </c>
      <c r="H62" s="5">
        <f>'SAP Results'!H62</f>
        <v>0</v>
      </c>
      <c r="I62" s="5">
        <f>'SAP Results'!I62</f>
        <v>0</v>
      </c>
      <c r="J62" s="5">
        <f>'SAP Results'!J62</f>
        <v>70.514099999999999</v>
      </c>
      <c r="K62" s="5" t="str">
        <f>'SAP Results'!K62</f>
        <v>4-1</v>
      </c>
      <c r="L62" s="5">
        <f>'SAP Results'!L62</f>
        <v>6.0374999999999996</v>
      </c>
    </row>
    <row r="63" spans="1:12" ht="15.75" hidden="1" customHeight="1">
      <c r="A63" s="6" t="str">
        <f>'SAP Results'!A63</f>
        <v>4</v>
      </c>
      <c r="B63" s="5">
        <f>'SAP Results'!B63</f>
        <v>7.0437500000000002</v>
      </c>
      <c r="C63" s="5" t="str">
        <f>'SAP Results'!C63</f>
        <v>G-1</v>
      </c>
      <c r="D63" s="5" t="str">
        <f>'SAP Results'!D63</f>
        <v>LinStatic</v>
      </c>
      <c r="E63" s="5">
        <f>'SAP Results'!E63</f>
        <v>0</v>
      </c>
      <c r="F63" s="5">
        <f>'SAP Results'!F63</f>
        <v>128.19300000000001</v>
      </c>
      <c r="G63" s="5">
        <f>'SAP Results'!G63</f>
        <v>0</v>
      </c>
      <c r="H63" s="5">
        <f>'SAP Results'!H63</f>
        <v>0</v>
      </c>
      <c r="I63" s="5">
        <f>'SAP Results'!I63</f>
        <v>0</v>
      </c>
      <c r="J63" s="5">
        <f>'SAP Results'!J63</f>
        <v>-38.285499999999999</v>
      </c>
      <c r="K63" s="5" t="str">
        <f>'SAP Results'!K63</f>
        <v>4-1</v>
      </c>
      <c r="L63" s="5">
        <f>'SAP Results'!L63</f>
        <v>7.0437500000000002</v>
      </c>
    </row>
    <row r="64" spans="1:12" ht="15.75" hidden="1" customHeight="1">
      <c r="A64" s="6" t="str">
        <f>'SAP Results'!A64</f>
        <v>4</v>
      </c>
      <c r="B64" s="5">
        <f>'SAP Results'!B64</f>
        <v>8.0500000000000007</v>
      </c>
      <c r="C64" s="5" t="str">
        <f>'SAP Results'!C64</f>
        <v>G-1</v>
      </c>
      <c r="D64" s="5" t="str">
        <f>'SAP Results'!D64</f>
        <v>LinStatic</v>
      </c>
      <c r="E64" s="5">
        <f>'SAP Results'!E64</f>
        <v>0</v>
      </c>
      <c r="F64" s="5">
        <f>'SAP Results'!F64</f>
        <v>168.333</v>
      </c>
      <c r="G64" s="5">
        <f>'SAP Results'!G64</f>
        <v>0</v>
      </c>
      <c r="H64" s="5">
        <f>'SAP Results'!H64</f>
        <v>0</v>
      </c>
      <c r="I64" s="5">
        <f>'SAP Results'!I64</f>
        <v>0</v>
      </c>
      <c r="J64" s="5">
        <f>'SAP Results'!J64</f>
        <v>-187.4752</v>
      </c>
      <c r="K64" s="5" t="str">
        <f>'SAP Results'!K64</f>
        <v>4-1</v>
      </c>
      <c r="L64" s="5">
        <f>'SAP Results'!L64</f>
        <v>8.0500000000000007</v>
      </c>
    </row>
    <row r="65" spans="1:12" ht="15.75" hidden="1" customHeight="1">
      <c r="A65" s="6" t="str">
        <f>'SAP Results'!A65</f>
        <v>4</v>
      </c>
      <c r="B65" s="5">
        <f>'SAP Results'!B65</f>
        <v>0</v>
      </c>
      <c r="C65" s="5" t="str">
        <f>'SAP Results'!C65</f>
        <v>G-2</v>
      </c>
      <c r="D65" s="5" t="str">
        <f>'SAP Results'!D65</f>
        <v>LinStatic</v>
      </c>
      <c r="E65" s="5">
        <f>'SAP Results'!E65</f>
        <v>0</v>
      </c>
      <c r="F65" s="5">
        <f>'SAP Results'!F65</f>
        <v>10.212999999999999</v>
      </c>
      <c r="G65" s="5">
        <f>'SAP Results'!G65</f>
        <v>0</v>
      </c>
      <c r="H65" s="5">
        <f>'SAP Results'!H65</f>
        <v>0</v>
      </c>
      <c r="I65" s="5">
        <f>'SAP Results'!I65</f>
        <v>0</v>
      </c>
      <c r="J65" s="5">
        <f>'SAP Results'!J65</f>
        <v>10.154299999999999</v>
      </c>
      <c r="K65" s="5" t="str">
        <f>'SAP Results'!K65</f>
        <v>4-1</v>
      </c>
      <c r="L65" s="5">
        <f>'SAP Results'!L65</f>
        <v>0</v>
      </c>
    </row>
    <row r="66" spans="1:12" ht="15.75" hidden="1" customHeight="1">
      <c r="A66" s="6" t="str">
        <f>'SAP Results'!A66</f>
        <v>4</v>
      </c>
      <c r="B66" s="5">
        <f>'SAP Results'!B66</f>
        <v>1.0062500000000001</v>
      </c>
      <c r="C66" s="5" t="str">
        <f>'SAP Results'!C66</f>
        <v>G-2</v>
      </c>
      <c r="D66" s="5" t="str">
        <f>'SAP Results'!D66</f>
        <v>LinStatic</v>
      </c>
      <c r="E66" s="5">
        <f>'SAP Results'!E66</f>
        <v>0</v>
      </c>
      <c r="F66" s="5">
        <f>'SAP Results'!F66</f>
        <v>10.212999999999999</v>
      </c>
      <c r="G66" s="5">
        <f>'SAP Results'!G66</f>
        <v>0</v>
      </c>
      <c r="H66" s="5">
        <f>'SAP Results'!H66</f>
        <v>0</v>
      </c>
      <c r="I66" s="5">
        <f>'SAP Results'!I66</f>
        <v>0</v>
      </c>
      <c r="J66" s="5">
        <f>'SAP Results'!J66</f>
        <v>-0.1227</v>
      </c>
      <c r="K66" s="5" t="str">
        <f>'SAP Results'!K66</f>
        <v>4-1</v>
      </c>
      <c r="L66" s="5">
        <f>'SAP Results'!L66</f>
        <v>1.0062500000000001</v>
      </c>
    </row>
    <row r="67" spans="1:12" ht="15.75" hidden="1" customHeight="1">
      <c r="A67" s="6" t="str">
        <f>'SAP Results'!A67</f>
        <v>4</v>
      </c>
      <c r="B67" s="5">
        <f>'SAP Results'!B67</f>
        <v>2.0125000000000002</v>
      </c>
      <c r="C67" s="5" t="str">
        <f>'SAP Results'!C67</f>
        <v>G-2</v>
      </c>
      <c r="D67" s="5" t="str">
        <f>'SAP Results'!D67</f>
        <v>LinStatic</v>
      </c>
      <c r="E67" s="5">
        <f>'SAP Results'!E67</f>
        <v>0</v>
      </c>
      <c r="F67" s="5">
        <f>'SAP Results'!F67</f>
        <v>10.212999999999999</v>
      </c>
      <c r="G67" s="5">
        <f>'SAP Results'!G67</f>
        <v>0</v>
      </c>
      <c r="H67" s="5">
        <f>'SAP Results'!H67</f>
        <v>0</v>
      </c>
      <c r="I67" s="5">
        <f>'SAP Results'!I67</f>
        <v>0</v>
      </c>
      <c r="J67" s="5">
        <f>'SAP Results'!J67</f>
        <v>-10.399800000000001</v>
      </c>
      <c r="K67" s="5" t="str">
        <f>'SAP Results'!K67</f>
        <v>4-1</v>
      </c>
      <c r="L67" s="5">
        <f>'SAP Results'!L67</f>
        <v>2.0125000000000002</v>
      </c>
    </row>
    <row r="68" spans="1:12" ht="15.75" hidden="1" customHeight="1">
      <c r="A68" s="6" t="str">
        <f>'SAP Results'!A68</f>
        <v>4</v>
      </c>
      <c r="B68" s="5">
        <f>'SAP Results'!B68</f>
        <v>3.0187499999999998</v>
      </c>
      <c r="C68" s="5" t="str">
        <f>'SAP Results'!C68</f>
        <v>G-2</v>
      </c>
      <c r="D68" s="5" t="str">
        <f>'SAP Results'!D68</f>
        <v>LinStatic</v>
      </c>
      <c r="E68" s="5">
        <f>'SAP Results'!E68</f>
        <v>0</v>
      </c>
      <c r="F68" s="5">
        <f>'SAP Results'!F68</f>
        <v>10.212999999999999</v>
      </c>
      <c r="G68" s="5">
        <f>'SAP Results'!G68</f>
        <v>0</v>
      </c>
      <c r="H68" s="5">
        <f>'SAP Results'!H68</f>
        <v>0</v>
      </c>
      <c r="I68" s="5">
        <f>'SAP Results'!I68</f>
        <v>0</v>
      </c>
      <c r="J68" s="5">
        <f>'SAP Results'!J68</f>
        <v>-20.6768</v>
      </c>
      <c r="K68" s="5" t="str">
        <f>'SAP Results'!K68</f>
        <v>4-1</v>
      </c>
      <c r="L68" s="5">
        <f>'SAP Results'!L68</f>
        <v>3.0187499999999998</v>
      </c>
    </row>
    <row r="69" spans="1:12" ht="15.75" hidden="1" customHeight="1">
      <c r="A69" s="6" t="str">
        <f>'SAP Results'!A69</f>
        <v>4</v>
      </c>
      <c r="B69" s="5">
        <f>'SAP Results'!B69</f>
        <v>4.0250000000000004</v>
      </c>
      <c r="C69" s="5" t="str">
        <f>'SAP Results'!C69</f>
        <v>G-2</v>
      </c>
      <c r="D69" s="5" t="str">
        <f>'SAP Results'!D69</f>
        <v>LinStatic</v>
      </c>
      <c r="E69" s="5">
        <f>'SAP Results'!E69</f>
        <v>0</v>
      </c>
      <c r="F69" s="5">
        <f>'SAP Results'!F69</f>
        <v>10.212999999999999</v>
      </c>
      <c r="G69" s="5">
        <f>'SAP Results'!G69</f>
        <v>0</v>
      </c>
      <c r="H69" s="5">
        <f>'SAP Results'!H69</f>
        <v>0</v>
      </c>
      <c r="I69" s="5">
        <f>'SAP Results'!I69</f>
        <v>0</v>
      </c>
      <c r="J69" s="5">
        <f>'SAP Results'!J69</f>
        <v>-30.953800000000001</v>
      </c>
      <c r="K69" s="5" t="str">
        <f>'SAP Results'!K69</f>
        <v>4-1</v>
      </c>
      <c r="L69" s="5">
        <f>'SAP Results'!L69</f>
        <v>4.0250000000000004</v>
      </c>
    </row>
    <row r="70" spans="1:12" ht="15.75" hidden="1" customHeight="1">
      <c r="A70" s="6" t="str">
        <f>'SAP Results'!A70</f>
        <v>4</v>
      </c>
      <c r="B70" s="5">
        <f>'SAP Results'!B70</f>
        <v>5.03125</v>
      </c>
      <c r="C70" s="5" t="str">
        <f>'SAP Results'!C70</f>
        <v>G-2</v>
      </c>
      <c r="D70" s="5" t="str">
        <f>'SAP Results'!D70</f>
        <v>LinStatic</v>
      </c>
      <c r="E70" s="5">
        <f>'SAP Results'!E70</f>
        <v>0</v>
      </c>
      <c r="F70" s="5">
        <f>'SAP Results'!F70</f>
        <v>10.212999999999999</v>
      </c>
      <c r="G70" s="5">
        <f>'SAP Results'!G70</f>
        <v>0</v>
      </c>
      <c r="H70" s="5">
        <f>'SAP Results'!H70</f>
        <v>0</v>
      </c>
      <c r="I70" s="5">
        <f>'SAP Results'!I70</f>
        <v>0</v>
      </c>
      <c r="J70" s="5">
        <f>'SAP Results'!J70</f>
        <v>-41.230899999999998</v>
      </c>
      <c r="K70" s="5" t="str">
        <f>'SAP Results'!K70</f>
        <v>4-1</v>
      </c>
      <c r="L70" s="5">
        <f>'SAP Results'!L70</f>
        <v>5.03125</v>
      </c>
    </row>
    <row r="71" spans="1:12" ht="15.75" hidden="1" customHeight="1">
      <c r="A71" s="6" t="str">
        <f>'SAP Results'!A71</f>
        <v>4</v>
      </c>
      <c r="B71" s="5">
        <f>'SAP Results'!B71</f>
        <v>6.0374999999999996</v>
      </c>
      <c r="C71" s="5" t="str">
        <f>'SAP Results'!C71</f>
        <v>G-2</v>
      </c>
      <c r="D71" s="5" t="str">
        <f>'SAP Results'!D71</f>
        <v>LinStatic</v>
      </c>
      <c r="E71" s="5">
        <f>'SAP Results'!E71</f>
        <v>0</v>
      </c>
      <c r="F71" s="5">
        <f>'SAP Results'!F71</f>
        <v>10.212999999999999</v>
      </c>
      <c r="G71" s="5">
        <f>'SAP Results'!G71</f>
        <v>0</v>
      </c>
      <c r="H71" s="5">
        <f>'SAP Results'!H71</f>
        <v>0</v>
      </c>
      <c r="I71" s="5">
        <f>'SAP Results'!I71</f>
        <v>0</v>
      </c>
      <c r="J71" s="5">
        <f>'SAP Results'!J71</f>
        <v>-51.507899999999999</v>
      </c>
      <c r="K71" s="5" t="str">
        <f>'SAP Results'!K71</f>
        <v>4-1</v>
      </c>
      <c r="L71" s="5">
        <f>'SAP Results'!L71</f>
        <v>6.0374999999999996</v>
      </c>
    </row>
    <row r="72" spans="1:12" ht="15.75" hidden="1" customHeight="1">
      <c r="A72" s="6" t="str">
        <f>'SAP Results'!A72</f>
        <v>4</v>
      </c>
      <c r="B72" s="5">
        <f>'SAP Results'!B72</f>
        <v>7.0437500000000002</v>
      </c>
      <c r="C72" s="5" t="str">
        <f>'SAP Results'!C72</f>
        <v>G-2</v>
      </c>
      <c r="D72" s="5" t="str">
        <f>'SAP Results'!D72</f>
        <v>LinStatic</v>
      </c>
      <c r="E72" s="5">
        <f>'SAP Results'!E72</f>
        <v>0</v>
      </c>
      <c r="F72" s="5">
        <f>'SAP Results'!F72</f>
        <v>10.212999999999999</v>
      </c>
      <c r="G72" s="5">
        <f>'SAP Results'!G72</f>
        <v>0</v>
      </c>
      <c r="H72" s="5">
        <f>'SAP Results'!H72</f>
        <v>0</v>
      </c>
      <c r="I72" s="5">
        <f>'SAP Results'!I72</f>
        <v>0</v>
      </c>
      <c r="J72" s="5">
        <f>'SAP Results'!J72</f>
        <v>-61.784999999999997</v>
      </c>
      <c r="K72" s="5" t="str">
        <f>'SAP Results'!K72</f>
        <v>4-1</v>
      </c>
      <c r="L72" s="5">
        <f>'SAP Results'!L72</f>
        <v>7.0437500000000002</v>
      </c>
    </row>
    <row r="73" spans="1:12" ht="15.75" hidden="1" customHeight="1">
      <c r="A73" s="6" t="str">
        <f>'SAP Results'!A73</f>
        <v>4</v>
      </c>
      <c r="B73" s="5">
        <f>'SAP Results'!B73</f>
        <v>8.0500000000000007</v>
      </c>
      <c r="C73" s="5" t="str">
        <f>'SAP Results'!C73</f>
        <v>G-2</v>
      </c>
      <c r="D73" s="5" t="str">
        <f>'SAP Results'!D73</f>
        <v>LinStatic</v>
      </c>
      <c r="E73" s="5">
        <f>'SAP Results'!E73</f>
        <v>0</v>
      </c>
      <c r="F73" s="5">
        <f>'SAP Results'!F73</f>
        <v>10.212999999999999</v>
      </c>
      <c r="G73" s="5">
        <f>'SAP Results'!G73</f>
        <v>0</v>
      </c>
      <c r="H73" s="5">
        <f>'SAP Results'!H73</f>
        <v>0</v>
      </c>
      <c r="I73" s="5">
        <f>'SAP Results'!I73</f>
        <v>0</v>
      </c>
      <c r="J73" s="5">
        <f>'SAP Results'!J73</f>
        <v>-72.061999999999998</v>
      </c>
      <c r="K73" s="5" t="str">
        <f>'SAP Results'!K73</f>
        <v>4-1</v>
      </c>
      <c r="L73" s="5">
        <f>'SAP Results'!L73</f>
        <v>8.0500000000000007</v>
      </c>
    </row>
    <row r="74" spans="1:12" ht="15.75" customHeight="1">
      <c r="A74" s="6" t="str">
        <f>'SAP Results'!A74</f>
        <v>4</v>
      </c>
      <c r="B74" s="5">
        <f>'SAP Results'!B74</f>
        <v>0</v>
      </c>
      <c r="C74" s="5" t="str">
        <f>'SAP Results'!C74</f>
        <v>Q-1</v>
      </c>
      <c r="D74" s="5" t="str">
        <f>'SAP Results'!D74</f>
        <v>LinStatic</v>
      </c>
      <c r="E74" s="5">
        <f>'SAP Results'!E74</f>
        <v>0</v>
      </c>
      <c r="F74" s="5">
        <f>'SAP Results'!F74</f>
        <v>-77.08</v>
      </c>
      <c r="G74" s="5">
        <f>'SAP Results'!G74</f>
        <v>0</v>
      </c>
      <c r="H74" s="5">
        <f>'SAP Results'!H74</f>
        <v>0</v>
      </c>
      <c r="I74" s="5">
        <f>'SAP Results'!I74</f>
        <v>0</v>
      </c>
      <c r="J74" s="5">
        <f>'SAP Results'!J74</f>
        <v>-63.004600000000003</v>
      </c>
      <c r="K74" s="5" t="str">
        <f>'SAP Results'!K74</f>
        <v>4-1</v>
      </c>
      <c r="L74" s="5">
        <f>'SAP Results'!L74</f>
        <v>0</v>
      </c>
    </row>
    <row r="75" spans="1:12" ht="15.75" customHeight="1">
      <c r="A75" s="6" t="str">
        <f>'SAP Results'!A75</f>
        <v>4</v>
      </c>
      <c r="B75" s="5">
        <f>'SAP Results'!B75</f>
        <v>1.0062500000000001</v>
      </c>
      <c r="C75" s="5" t="str">
        <f>'SAP Results'!C75</f>
        <v>Q-1</v>
      </c>
      <c r="D75" s="5" t="str">
        <f>'SAP Results'!D75</f>
        <v>LinStatic</v>
      </c>
      <c r="E75" s="5">
        <f>'SAP Results'!E75</f>
        <v>0</v>
      </c>
      <c r="F75" s="5">
        <f>'SAP Results'!F75</f>
        <v>-56.829000000000001</v>
      </c>
      <c r="G75" s="5">
        <f>'SAP Results'!G75</f>
        <v>0</v>
      </c>
      <c r="H75" s="5">
        <f>'SAP Results'!H75</f>
        <v>0</v>
      </c>
      <c r="I75" s="5">
        <f>'SAP Results'!I75</f>
        <v>0</v>
      </c>
      <c r="J75" s="5">
        <f>'SAP Results'!J75</f>
        <v>4.3686999999999996</v>
      </c>
      <c r="K75" s="5" t="str">
        <f>'SAP Results'!K75</f>
        <v>4-1</v>
      </c>
      <c r="L75" s="5">
        <f>'SAP Results'!L75</f>
        <v>1.0062500000000001</v>
      </c>
    </row>
    <row r="76" spans="1:12" ht="15.75" customHeight="1">
      <c r="A76" s="6" t="str">
        <f>'SAP Results'!A76</f>
        <v>4</v>
      </c>
      <c r="B76" s="5">
        <f>'SAP Results'!B76</f>
        <v>2.0125000000000002</v>
      </c>
      <c r="C76" s="5" t="str">
        <f>'SAP Results'!C76</f>
        <v>Q-1</v>
      </c>
      <c r="D76" s="5" t="str">
        <f>'SAP Results'!D76</f>
        <v>LinStatic</v>
      </c>
      <c r="E76" s="5">
        <f>'SAP Results'!E76</f>
        <v>0</v>
      </c>
      <c r="F76" s="5">
        <f>'SAP Results'!F76</f>
        <v>-36.579000000000001</v>
      </c>
      <c r="G76" s="5">
        <f>'SAP Results'!G76</f>
        <v>0</v>
      </c>
      <c r="H76" s="5">
        <f>'SAP Results'!H76</f>
        <v>0</v>
      </c>
      <c r="I76" s="5">
        <f>'SAP Results'!I76</f>
        <v>0</v>
      </c>
      <c r="J76" s="5">
        <f>'SAP Results'!J76</f>
        <v>51.364699999999999</v>
      </c>
      <c r="K76" s="5" t="str">
        <f>'SAP Results'!K76</f>
        <v>4-1</v>
      </c>
      <c r="L76" s="5">
        <f>'SAP Results'!L76</f>
        <v>2.0125000000000002</v>
      </c>
    </row>
    <row r="77" spans="1:12" ht="15.75" customHeight="1">
      <c r="A77" s="6" t="str">
        <f>'SAP Results'!A77</f>
        <v>4</v>
      </c>
      <c r="B77" s="5">
        <f>'SAP Results'!B77</f>
        <v>3.0187499999999998</v>
      </c>
      <c r="C77" s="5" t="str">
        <f>'SAP Results'!C77</f>
        <v>Q-1</v>
      </c>
      <c r="D77" s="5" t="str">
        <f>'SAP Results'!D77</f>
        <v>LinStatic</v>
      </c>
      <c r="E77" s="5">
        <f>'SAP Results'!E77</f>
        <v>0</v>
      </c>
      <c r="F77" s="5">
        <f>'SAP Results'!F77</f>
        <v>-16.327999999999999</v>
      </c>
      <c r="G77" s="5">
        <f>'SAP Results'!G77</f>
        <v>0</v>
      </c>
      <c r="H77" s="5">
        <f>'SAP Results'!H77</f>
        <v>0</v>
      </c>
      <c r="I77" s="5">
        <f>'SAP Results'!I77</f>
        <v>0</v>
      </c>
      <c r="J77" s="5">
        <f>'SAP Results'!J77</f>
        <v>77.983400000000003</v>
      </c>
      <c r="K77" s="5" t="str">
        <f>'SAP Results'!K77</f>
        <v>4-1</v>
      </c>
      <c r="L77" s="5">
        <f>'SAP Results'!L77</f>
        <v>3.0187499999999998</v>
      </c>
    </row>
    <row r="78" spans="1:12" ht="15.75" customHeight="1">
      <c r="A78" s="6" t="str">
        <f>'SAP Results'!A78</f>
        <v>4</v>
      </c>
      <c r="B78" s="5">
        <f>'SAP Results'!B78</f>
        <v>4.0250000000000004</v>
      </c>
      <c r="C78" s="5" t="str">
        <f>'SAP Results'!C78</f>
        <v>Q-1</v>
      </c>
      <c r="D78" s="5" t="str">
        <f>'SAP Results'!D78</f>
        <v>LinStatic</v>
      </c>
      <c r="E78" s="5">
        <f>'SAP Results'!E78</f>
        <v>0</v>
      </c>
      <c r="F78" s="5">
        <f>'SAP Results'!F78</f>
        <v>3.923</v>
      </c>
      <c r="G78" s="5">
        <f>'SAP Results'!G78</f>
        <v>0</v>
      </c>
      <c r="H78" s="5">
        <f>'SAP Results'!H78</f>
        <v>0</v>
      </c>
      <c r="I78" s="5">
        <f>'SAP Results'!I78</f>
        <v>0</v>
      </c>
      <c r="J78" s="5">
        <f>'SAP Results'!J78</f>
        <v>84.224699999999999</v>
      </c>
      <c r="K78" s="5" t="str">
        <f>'SAP Results'!K78</f>
        <v>4-1</v>
      </c>
      <c r="L78" s="5">
        <f>'SAP Results'!L78</f>
        <v>4.0250000000000004</v>
      </c>
    </row>
    <row r="79" spans="1:12" ht="15.75" customHeight="1">
      <c r="A79" s="6" t="str">
        <f>'SAP Results'!A79</f>
        <v>4</v>
      </c>
      <c r="B79" s="5">
        <f>'SAP Results'!B79</f>
        <v>5.03125</v>
      </c>
      <c r="C79" s="5" t="str">
        <f>'SAP Results'!C79</f>
        <v>Q-1</v>
      </c>
      <c r="D79" s="5" t="str">
        <f>'SAP Results'!D79</f>
        <v>LinStatic</v>
      </c>
      <c r="E79" s="5">
        <f>'SAP Results'!E79</f>
        <v>0</v>
      </c>
      <c r="F79" s="5">
        <f>'SAP Results'!F79</f>
        <v>24.173999999999999</v>
      </c>
      <c r="G79" s="5">
        <f>'SAP Results'!G79</f>
        <v>0</v>
      </c>
      <c r="H79" s="5">
        <f>'SAP Results'!H79</f>
        <v>0</v>
      </c>
      <c r="I79" s="5">
        <f>'SAP Results'!I79</f>
        <v>0</v>
      </c>
      <c r="J79" s="5">
        <f>'SAP Results'!J79</f>
        <v>70.0886</v>
      </c>
      <c r="K79" s="5" t="str">
        <f>'SAP Results'!K79</f>
        <v>4-1</v>
      </c>
      <c r="L79" s="5">
        <f>'SAP Results'!L79</f>
        <v>5.03125</v>
      </c>
    </row>
    <row r="80" spans="1:12" ht="15.75" customHeight="1">
      <c r="A80" s="6" t="str">
        <f>'SAP Results'!A80</f>
        <v>4</v>
      </c>
      <c r="B80" s="5">
        <f>'SAP Results'!B80</f>
        <v>6.0374999999999996</v>
      </c>
      <c r="C80" s="5" t="str">
        <f>'SAP Results'!C80</f>
        <v>Q-1</v>
      </c>
      <c r="D80" s="5" t="str">
        <f>'SAP Results'!D80</f>
        <v>LinStatic</v>
      </c>
      <c r="E80" s="5">
        <f>'SAP Results'!E80</f>
        <v>0</v>
      </c>
      <c r="F80" s="5">
        <f>'SAP Results'!F80</f>
        <v>44.423999999999999</v>
      </c>
      <c r="G80" s="5">
        <f>'SAP Results'!G80</f>
        <v>0</v>
      </c>
      <c r="H80" s="5">
        <f>'SAP Results'!H80</f>
        <v>0</v>
      </c>
      <c r="I80" s="5">
        <f>'SAP Results'!I80</f>
        <v>0</v>
      </c>
      <c r="J80" s="5">
        <f>'SAP Results'!J80</f>
        <v>35.575299999999999</v>
      </c>
      <c r="K80" s="5" t="str">
        <f>'SAP Results'!K80</f>
        <v>4-1</v>
      </c>
      <c r="L80" s="5">
        <f>'SAP Results'!L80</f>
        <v>6.0374999999999996</v>
      </c>
    </row>
    <row r="81" spans="1:12" ht="15.75" customHeight="1">
      <c r="A81" s="6" t="str">
        <f>'SAP Results'!A81</f>
        <v>4</v>
      </c>
      <c r="B81" s="5">
        <f>'SAP Results'!B81</f>
        <v>7.0437500000000002</v>
      </c>
      <c r="C81" s="5" t="str">
        <f>'SAP Results'!C81</f>
        <v>Q-1</v>
      </c>
      <c r="D81" s="5" t="str">
        <f>'SAP Results'!D81</f>
        <v>LinStatic</v>
      </c>
      <c r="E81" s="5">
        <f>'SAP Results'!E81</f>
        <v>0</v>
      </c>
      <c r="F81" s="5">
        <f>'SAP Results'!F81</f>
        <v>64.674999999999997</v>
      </c>
      <c r="G81" s="5">
        <f>'SAP Results'!G81</f>
        <v>0</v>
      </c>
      <c r="H81" s="5">
        <f>'SAP Results'!H81</f>
        <v>0</v>
      </c>
      <c r="I81" s="5">
        <f>'SAP Results'!I81</f>
        <v>0</v>
      </c>
      <c r="J81" s="5">
        <f>'SAP Results'!J81</f>
        <v>-19.3155</v>
      </c>
      <c r="K81" s="5" t="str">
        <f>'SAP Results'!K81</f>
        <v>4-1</v>
      </c>
      <c r="L81" s="5">
        <f>'SAP Results'!L81</f>
        <v>7.0437500000000002</v>
      </c>
    </row>
    <row r="82" spans="1:12" ht="15.75" customHeight="1">
      <c r="A82" s="6" t="str">
        <f>'SAP Results'!A82</f>
        <v>4</v>
      </c>
      <c r="B82" s="5">
        <f>'SAP Results'!B82</f>
        <v>8.0500000000000007</v>
      </c>
      <c r="C82" s="5" t="str">
        <f>'SAP Results'!C82</f>
        <v>Q-1</v>
      </c>
      <c r="D82" s="5" t="str">
        <f>'SAP Results'!D82</f>
        <v>LinStatic</v>
      </c>
      <c r="E82" s="5">
        <f>'SAP Results'!E82</f>
        <v>0</v>
      </c>
      <c r="F82" s="5">
        <f>'SAP Results'!F82</f>
        <v>84.926000000000002</v>
      </c>
      <c r="G82" s="5">
        <f>'SAP Results'!G82</f>
        <v>0</v>
      </c>
      <c r="H82" s="5">
        <f>'SAP Results'!H82</f>
        <v>0</v>
      </c>
      <c r="I82" s="5">
        <f>'SAP Results'!I82</f>
        <v>0</v>
      </c>
      <c r="J82" s="5">
        <f>'SAP Results'!J82</f>
        <v>-94.583600000000004</v>
      </c>
      <c r="K82" s="5" t="str">
        <f>'SAP Results'!K82</f>
        <v>4-1</v>
      </c>
      <c r="L82" s="5">
        <f>'SAP Results'!L82</f>
        <v>8.0500000000000007</v>
      </c>
    </row>
    <row r="83" spans="1:12" ht="15.75" hidden="1" customHeight="1">
      <c r="A83" s="6" t="str">
        <f>'SAP Results'!A83</f>
        <v>4</v>
      </c>
      <c r="B83" s="5">
        <f>'SAP Results'!B83</f>
        <v>0</v>
      </c>
      <c r="C83" s="5" t="str">
        <f>'SAP Results'!C83</f>
        <v>Q-2</v>
      </c>
      <c r="D83" s="5" t="str">
        <f>'SAP Results'!D83</f>
        <v>LinStatic</v>
      </c>
      <c r="E83" s="5">
        <f>'SAP Results'!E83</f>
        <v>0</v>
      </c>
      <c r="F83" s="5">
        <f>'SAP Results'!F83</f>
        <v>5.1529999999999996</v>
      </c>
      <c r="G83" s="5">
        <f>'SAP Results'!G83</f>
        <v>0</v>
      </c>
      <c r="H83" s="5">
        <f>'SAP Results'!H83</f>
        <v>0</v>
      </c>
      <c r="I83" s="5">
        <f>'SAP Results'!I83</f>
        <v>0</v>
      </c>
      <c r="J83" s="5">
        <f>'SAP Results'!J83</f>
        <v>5.1230000000000002</v>
      </c>
      <c r="K83" s="5" t="str">
        <f>'SAP Results'!K83</f>
        <v>4-1</v>
      </c>
      <c r="L83" s="5">
        <f>'SAP Results'!L83</f>
        <v>0</v>
      </c>
    </row>
    <row r="84" spans="1:12" ht="15.75" hidden="1" customHeight="1">
      <c r="A84" s="6" t="str">
        <f>'SAP Results'!A84</f>
        <v>4</v>
      </c>
      <c r="B84" s="5">
        <f>'SAP Results'!B84</f>
        <v>1.0062500000000001</v>
      </c>
      <c r="C84" s="5" t="str">
        <f>'SAP Results'!C84</f>
        <v>Q-2</v>
      </c>
      <c r="D84" s="5" t="str">
        <f>'SAP Results'!D84</f>
        <v>LinStatic</v>
      </c>
      <c r="E84" s="5">
        <f>'SAP Results'!E84</f>
        <v>0</v>
      </c>
      <c r="F84" s="5">
        <f>'SAP Results'!F84</f>
        <v>5.1529999999999996</v>
      </c>
      <c r="G84" s="5">
        <f>'SAP Results'!G84</f>
        <v>0</v>
      </c>
      <c r="H84" s="5">
        <f>'SAP Results'!H84</f>
        <v>0</v>
      </c>
      <c r="I84" s="5">
        <f>'SAP Results'!I84</f>
        <v>0</v>
      </c>
      <c r="J84" s="5">
        <f>'SAP Results'!J84</f>
        <v>-6.1899999999999997E-2</v>
      </c>
      <c r="K84" s="5" t="str">
        <f>'SAP Results'!K84</f>
        <v>4-1</v>
      </c>
      <c r="L84" s="5">
        <f>'SAP Results'!L84</f>
        <v>1.0062500000000001</v>
      </c>
    </row>
    <row r="85" spans="1:12" ht="15.75" hidden="1" customHeight="1">
      <c r="A85" s="6" t="str">
        <f>'SAP Results'!A85</f>
        <v>4</v>
      </c>
      <c r="B85" s="5">
        <f>'SAP Results'!B85</f>
        <v>2.0125000000000002</v>
      </c>
      <c r="C85" s="5" t="str">
        <f>'SAP Results'!C85</f>
        <v>Q-2</v>
      </c>
      <c r="D85" s="5" t="str">
        <f>'SAP Results'!D85</f>
        <v>LinStatic</v>
      </c>
      <c r="E85" s="5">
        <f>'SAP Results'!E85</f>
        <v>0</v>
      </c>
      <c r="F85" s="5">
        <f>'SAP Results'!F85</f>
        <v>5.1529999999999996</v>
      </c>
      <c r="G85" s="5">
        <f>'SAP Results'!G85</f>
        <v>0</v>
      </c>
      <c r="H85" s="5">
        <f>'SAP Results'!H85</f>
        <v>0</v>
      </c>
      <c r="I85" s="5">
        <f>'SAP Results'!I85</f>
        <v>0</v>
      </c>
      <c r="J85" s="5">
        <f>'SAP Results'!J85</f>
        <v>-5.2468000000000004</v>
      </c>
      <c r="K85" s="5" t="str">
        <f>'SAP Results'!K85</f>
        <v>4-1</v>
      </c>
      <c r="L85" s="5">
        <f>'SAP Results'!L85</f>
        <v>2.0125000000000002</v>
      </c>
    </row>
    <row r="86" spans="1:12" ht="15.75" hidden="1" customHeight="1">
      <c r="A86" s="6" t="str">
        <f>'SAP Results'!A86</f>
        <v>4</v>
      </c>
      <c r="B86" s="5">
        <f>'SAP Results'!B86</f>
        <v>3.0187499999999998</v>
      </c>
      <c r="C86" s="5" t="str">
        <f>'SAP Results'!C86</f>
        <v>Q-2</v>
      </c>
      <c r="D86" s="5" t="str">
        <f>'SAP Results'!D86</f>
        <v>LinStatic</v>
      </c>
      <c r="E86" s="5">
        <f>'SAP Results'!E86</f>
        <v>0</v>
      </c>
      <c r="F86" s="5">
        <f>'SAP Results'!F86</f>
        <v>5.1529999999999996</v>
      </c>
      <c r="G86" s="5">
        <f>'SAP Results'!G86</f>
        <v>0</v>
      </c>
      <c r="H86" s="5">
        <f>'SAP Results'!H86</f>
        <v>0</v>
      </c>
      <c r="I86" s="5">
        <f>'SAP Results'!I86</f>
        <v>0</v>
      </c>
      <c r="J86" s="5">
        <f>'SAP Results'!J86</f>
        <v>-10.431699999999999</v>
      </c>
      <c r="K86" s="5" t="str">
        <f>'SAP Results'!K86</f>
        <v>4-1</v>
      </c>
      <c r="L86" s="5">
        <f>'SAP Results'!L86</f>
        <v>3.0187499999999998</v>
      </c>
    </row>
    <row r="87" spans="1:12" ht="15.75" hidden="1" customHeight="1">
      <c r="A87" s="6" t="str">
        <f>'SAP Results'!A87</f>
        <v>4</v>
      </c>
      <c r="B87" s="5">
        <f>'SAP Results'!B87</f>
        <v>4.0250000000000004</v>
      </c>
      <c r="C87" s="5" t="str">
        <f>'SAP Results'!C87</f>
        <v>Q-2</v>
      </c>
      <c r="D87" s="5" t="str">
        <f>'SAP Results'!D87</f>
        <v>LinStatic</v>
      </c>
      <c r="E87" s="5">
        <f>'SAP Results'!E87</f>
        <v>0</v>
      </c>
      <c r="F87" s="5">
        <f>'SAP Results'!F87</f>
        <v>5.1529999999999996</v>
      </c>
      <c r="G87" s="5">
        <f>'SAP Results'!G87</f>
        <v>0</v>
      </c>
      <c r="H87" s="5">
        <f>'SAP Results'!H87</f>
        <v>0</v>
      </c>
      <c r="I87" s="5">
        <f>'SAP Results'!I87</f>
        <v>0</v>
      </c>
      <c r="J87" s="5">
        <f>'SAP Results'!J87</f>
        <v>-15.6166</v>
      </c>
      <c r="K87" s="5" t="str">
        <f>'SAP Results'!K87</f>
        <v>4-1</v>
      </c>
      <c r="L87" s="5">
        <f>'SAP Results'!L87</f>
        <v>4.0250000000000004</v>
      </c>
    </row>
    <row r="88" spans="1:12" ht="15.75" hidden="1" customHeight="1">
      <c r="A88" s="6" t="str">
        <f>'SAP Results'!A88</f>
        <v>4</v>
      </c>
      <c r="B88" s="5">
        <f>'SAP Results'!B88</f>
        <v>5.03125</v>
      </c>
      <c r="C88" s="5" t="str">
        <f>'SAP Results'!C88</f>
        <v>Q-2</v>
      </c>
      <c r="D88" s="5" t="str">
        <f>'SAP Results'!D88</f>
        <v>LinStatic</v>
      </c>
      <c r="E88" s="5">
        <f>'SAP Results'!E88</f>
        <v>0</v>
      </c>
      <c r="F88" s="5">
        <f>'SAP Results'!F88</f>
        <v>5.1529999999999996</v>
      </c>
      <c r="G88" s="5">
        <f>'SAP Results'!G88</f>
        <v>0</v>
      </c>
      <c r="H88" s="5">
        <f>'SAP Results'!H88</f>
        <v>0</v>
      </c>
      <c r="I88" s="5">
        <f>'SAP Results'!I88</f>
        <v>0</v>
      </c>
      <c r="J88" s="5">
        <f>'SAP Results'!J88</f>
        <v>-20.801500000000001</v>
      </c>
      <c r="K88" s="5" t="str">
        <f>'SAP Results'!K88</f>
        <v>4-1</v>
      </c>
      <c r="L88" s="5">
        <f>'SAP Results'!L88</f>
        <v>5.03125</v>
      </c>
    </row>
    <row r="89" spans="1:12" ht="15.75" hidden="1" customHeight="1">
      <c r="A89" s="6" t="str">
        <f>'SAP Results'!A89</f>
        <v>4</v>
      </c>
      <c r="B89" s="5">
        <f>'SAP Results'!B89</f>
        <v>6.0374999999999996</v>
      </c>
      <c r="C89" s="5" t="str">
        <f>'SAP Results'!C89</f>
        <v>Q-2</v>
      </c>
      <c r="D89" s="5" t="str">
        <f>'SAP Results'!D89</f>
        <v>LinStatic</v>
      </c>
      <c r="E89" s="5">
        <f>'SAP Results'!E89</f>
        <v>0</v>
      </c>
      <c r="F89" s="5">
        <f>'SAP Results'!F89</f>
        <v>5.1529999999999996</v>
      </c>
      <c r="G89" s="5">
        <f>'SAP Results'!G89</f>
        <v>0</v>
      </c>
      <c r="H89" s="5">
        <f>'SAP Results'!H89</f>
        <v>0</v>
      </c>
      <c r="I89" s="5">
        <f>'SAP Results'!I89</f>
        <v>0</v>
      </c>
      <c r="J89" s="5">
        <f>'SAP Results'!J89</f>
        <v>-25.9864</v>
      </c>
      <c r="K89" s="5" t="str">
        <f>'SAP Results'!K89</f>
        <v>4-1</v>
      </c>
      <c r="L89" s="5">
        <f>'SAP Results'!L89</f>
        <v>6.0374999999999996</v>
      </c>
    </row>
    <row r="90" spans="1:12" ht="15.75" hidden="1" customHeight="1">
      <c r="A90" s="6" t="str">
        <f>'SAP Results'!A90</f>
        <v>4</v>
      </c>
      <c r="B90" s="5">
        <f>'SAP Results'!B90</f>
        <v>7.0437500000000002</v>
      </c>
      <c r="C90" s="5" t="str">
        <f>'SAP Results'!C90</f>
        <v>Q-2</v>
      </c>
      <c r="D90" s="5" t="str">
        <f>'SAP Results'!D90</f>
        <v>LinStatic</v>
      </c>
      <c r="E90" s="5">
        <f>'SAP Results'!E90</f>
        <v>0</v>
      </c>
      <c r="F90" s="5">
        <f>'SAP Results'!F90</f>
        <v>5.1529999999999996</v>
      </c>
      <c r="G90" s="5">
        <f>'SAP Results'!G90</f>
        <v>0</v>
      </c>
      <c r="H90" s="5">
        <f>'SAP Results'!H90</f>
        <v>0</v>
      </c>
      <c r="I90" s="5">
        <f>'SAP Results'!I90</f>
        <v>0</v>
      </c>
      <c r="J90" s="5">
        <f>'SAP Results'!J90</f>
        <v>-31.171299999999999</v>
      </c>
      <c r="K90" s="5" t="str">
        <f>'SAP Results'!K90</f>
        <v>4-1</v>
      </c>
      <c r="L90" s="5">
        <f>'SAP Results'!L90</f>
        <v>7.0437500000000002</v>
      </c>
    </row>
    <row r="91" spans="1:12" ht="15.75" hidden="1" customHeight="1">
      <c r="A91" s="6" t="str">
        <f>'SAP Results'!A91</f>
        <v>4</v>
      </c>
      <c r="B91" s="5">
        <f>'SAP Results'!B91</f>
        <v>8.0500000000000007</v>
      </c>
      <c r="C91" s="5" t="str">
        <f>'SAP Results'!C91</f>
        <v>Q-2</v>
      </c>
      <c r="D91" s="5" t="str">
        <f>'SAP Results'!D91</f>
        <v>LinStatic</v>
      </c>
      <c r="E91" s="5">
        <f>'SAP Results'!E91</f>
        <v>0</v>
      </c>
      <c r="F91" s="5">
        <f>'SAP Results'!F91</f>
        <v>5.1529999999999996</v>
      </c>
      <c r="G91" s="5">
        <f>'SAP Results'!G91</f>
        <v>0</v>
      </c>
      <c r="H91" s="5">
        <f>'SAP Results'!H91</f>
        <v>0</v>
      </c>
      <c r="I91" s="5">
        <f>'SAP Results'!I91</f>
        <v>0</v>
      </c>
      <c r="J91" s="5">
        <f>'SAP Results'!J91</f>
        <v>-36.356200000000001</v>
      </c>
      <c r="K91" s="5" t="str">
        <f>'SAP Results'!K91</f>
        <v>4-1</v>
      </c>
      <c r="L91" s="5">
        <f>'SAP Results'!L91</f>
        <v>8.0500000000000007</v>
      </c>
    </row>
    <row r="92" spans="1:12" ht="15.75" hidden="1" customHeight="1">
      <c r="A92" s="6" t="str">
        <f>'SAP Results'!A92</f>
        <v>5</v>
      </c>
      <c r="B92" s="5">
        <f>'SAP Results'!B92</f>
        <v>0</v>
      </c>
      <c r="C92" s="5" t="str">
        <f>'SAP Results'!C92</f>
        <v>EX</v>
      </c>
      <c r="D92" s="5" t="str">
        <f>'SAP Results'!D92</f>
        <v>LinStatic</v>
      </c>
      <c r="E92" s="5">
        <f>'SAP Results'!E92</f>
        <v>0</v>
      </c>
      <c r="F92" s="5">
        <f>'SAP Results'!F92</f>
        <v>18.693999999999999</v>
      </c>
      <c r="G92" s="5">
        <f>'SAP Results'!G92</f>
        <v>0</v>
      </c>
      <c r="H92" s="5">
        <f>'SAP Results'!H92</f>
        <v>0</v>
      </c>
      <c r="I92" s="5">
        <f>'SAP Results'!I92</f>
        <v>0</v>
      </c>
      <c r="J92" s="5">
        <f>'SAP Results'!J92</f>
        <v>64.579499999999996</v>
      </c>
      <c r="K92" s="5" t="str">
        <f>'SAP Results'!K92</f>
        <v>5-1</v>
      </c>
      <c r="L92" s="5">
        <f>'SAP Results'!L92</f>
        <v>0</v>
      </c>
    </row>
    <row r="93" spans="1:12" ht="15.75" hidden="1" customHeight="1">
      <c r="A93" s="6" t="str">
        <f>'SAP Results'!A93</f>
        <v>5</v>
      </c>
      <c r="B93" s="5">
        <f>'SAP Results'!B93</f>
        <v>1.0062500000000001</v>
      </c>
      <c r="C93" s="5" t="str">
        <f>'SAP Results'!C93</f>
        <v>EX</v>
      </c>
      <c r="D93" s="5" t="str">
        <f>'SAP Results'!D93</f>
        <v>LinStatic</v>
      </c>
      <c r="E93" s="5">
        <f>'SAP Results'!E93</f>
        <v>0</v>
      </c>
      <c r="F93" s="5">
        <f>'SAP Results'!F93</f>
        <v>18.693999999999999</v>
      </c>
      <c r="G93" s="5">
        <f>'SAP Results'!G93</f>
        <v>0</v>
      </c>
      <c r="H93" s="5">
        <f>'SAP Results'!H93</f>
        <v>0</v>
      </c>
      <c r="I93" s="5">
        <f>'SAP Results'!I93</f>
        <v>0</v>
      </c>
      <c r="J93" s="5">
        <f>'SAP Results'!J93</f>
        <v>45.768900000000002</v>
      </c>
      <c r="K93" s="5" t="str">
        <f>'SAP Results'!K93</f>
        <v>5-1</v>
      </c>
      <c r="L93" s="5">
        <f>'SAP Results'!L93</f>
        <v>1.0062500000000001</v>
      </c>
    </row>
    <row r="94" spans="1:12" ht="15.75" hidden="1" customHeight="1">
      <c r="A94" s="6" t="str">
        <f>'SAP Results'!A94</f>
        <v>5</v>
      </c>
      <c r="B94" s="5">
        <f>'SAP Results'!B94</f>
        <v>2.0125000000000002</v>
      </c>
      <c r="C94" s="5" t="str">
        <f>'SAP Results'!C94</f>
        <v>EX</v>
      </c>
      <c r="D94" s="5" t="str">
        <f>'SAP Results'!D94</f>
        <v>LinStatic</v>
      </c>
      <c r="E94" s="5">
        <f>'SAP Results'!E94</f>
        <v>0</v>
      </c>
      <c r="F94" s="5">
        <f>'SAP Results'!F94</f>
        <v>18.693999999999999</v>
      </c>
      <c r="G94" s="5">
        <f>'SAP Results'!G94</f>
        <v>0</v>
      </c>
      <c r="H94" s="5">
        <f>'SAP Results'!H94</f>
        <v>0</v>
      </c>
      <c r="I94" s="5">
        <f>'SAP Results'!I94</f>
        <v>0</v>
      </c>
      <c r="J94" s="5">
        <f>'SAP Results'!J94</f>
        <v>26.958400000000001</v>
      </c>
      <c r="K94" s="5" t="str">
        <f>'SAP Results'!K94</f>
        <v>5-1</v>
      </c>
      <c r="L94" s="5">
        <f>'SAP Results'!L94</f>
        <v>2.0125000000000002</v>
      </c>
    </row>
    <row r="95" spans="1:12" ht="15.75" hidden="1" customHeight="1">
      <c r="A95" s="6" t="str">
        <f>'SAP Results'!A95</f>
        <v>5</v>
      </c>
      <c r="B95" s="5">
        <f>'SAP Results'!B95</f>
        <v>3.0187499999999998</v>
      </c>
      <c r="C95" s="5" t="str">
        <f>'SAP Results'!C95</f>
        <v>EX</v>
      </c>
      <c r="D95" s="5" t="str">
        <f>'SAP Results'!D95</f>
        <v>LinStatic</v>
      </c>
      <c r="E95" s="5">
        <f>'SAP Results'!E95</f>
        <v>0</v>
      </c>
      <c r="F95" s="5">
        <f>'SAP Results'!F95</f>
        <v>18.693999999999999</v>
      </c>
      <c r="G95" s="5">
        <f>'SAP Results'!G95</f>
        <v>0</v>
      </c>
      <c r="H95" s="5">
        <f>'SAP Results'!H95</f>
        <v>0</v>
      </c>
      <c r="I95" s="5">
        <f>'SAP Results'!I95</f>
        <v>0</v>
      </c>
      <c r="J95" s="5">
        <f>'SAP Results'!J95</f>
        <v>8.1478999999999999</v>
      </c>
      <c r="K95" s="5" t="str">
        <f>'SAP Results'!K95</f>
        <v>5-1</v>
      </c>
      <c r="L95" s="5">
        <f>'SAP Results'!L95</f>
        <v>3.0187499999999998</v>
      </c>
    </row>
    <row r="96" spans="1:12" ht="15.75" hidden="1" customHeight="1">
      <c r="A96" s="6" t="str">
        <f>'SAP Results'!A96</f>
        <v>5</v>
      </c>
      <c r="B96" s="5">
        <f>'SAP Results'!B96</f>
        <v>4.0250000000000004</v>
      </c>
      <c r="C96" s="5" t="str">
        <f>'SAP Results'!C96</f>
        <v>EX</v>
      </c>
      <c r="D96" s="5" t="str">
        <f>'SAP Results'!D96</f>
        <v>LinStatic</v>
      </c>
      <c r="E96" s="5">
        <f>'SAP Results'!E96</f>
        <v>0</v>
      </c>
      <c r="F96" s="5">
        <f>'SAP Results'!F96</f>
        <v>18.693999999999999</v>
      </c>
      <c r="G96" s="5">
        <f>'SAP Results'!G96</f>
        <v>0</v>
      </c>
      <c r="H96" s="5">
        <f>'SAP Results'!H96</f>
        <v>0</v>
      </c>
      <c r="I96" s="5">
        <f>'SAP Results'!I96</f>
        <v>0</v>
      </c>
      <c r="J96" s="5">
        <f>'SAP Results'!J96</f>
        <v>-10.662599999999999</v>
      </c>
      <c r="K96" s="5" t="str">
        <f>'SAP Results'!K96</f>
        <v>5-1</v>
      </c>
      <c r="L96" s="5">
        <f>'SAP Results'!L96</f>
        <v>4.0250000000000004</v>
      </c>
    </row>
    <row r="97" spans="1:12" ht="15.75" hidden="1" customHeight="1">
      <c r="A97" s="6" t="str">
        <f>'SAP Results'!A97</f>
        <v>5</v>
      </c>
      <c r="B97" s="5">
        <f>'SAP Results'!B97</f>
        <v>5.03125</v>
      </c>
      <c r="C97" s="5" t="str">
        <f>'SAP Results'!C97</f>
        <v>EX</v>
      </c>
      <c r="D97" s="5" t="str">
        <f>'SAP Results'!D97</f>
        <v>LinStatic</v>
      </c>
      <c r="E97" s="5">
        <f>'SAP Results'!E97</f>
        <v>0</v>
      </c>
      <c r="F97" s="5">
        <f>'SAP Results'!F97</f>
        <v>18.693999999999999</v>
      </c>
      <c r="G97" s="5">
        <f>'SAP Results'!G97</f>
        <v>0</v>
      </c>
      <c r="H97" s="5">
        <f>'SAP Results'!H97</f>
        <v>0</v>
      </c>
      <c r="I97" s="5">
        <f>'SAP Results'!I97</f>
        <v>0</v>
      </c>
      <c r="J97" s="5">
        <f>'SAP Results'!J97</f>
        <v>-29.473199999999999</v>
      </c>
      <c r="K97" s="5" t="str">
        <f>'SAP Results'!K97</f>
        <v>5-1</v>
      </c>
      <c r="L97" s="5">
        <f>'SAP Results'!L97</f>
        <v>5.03125</v>
      </c>
    </row>
    <row r="98" spans="1:12" ht="15.75" hidden="1" customHeight="1">
      <c r="A98" s="6" t="str">
        <f>'SAP Results'!A98</f>
        <v>5</v>
      </c>
      <c r="B98" s="5">
        <f>'SAP Results'!B98</f>
        <v>6.0374999999999996</v>
      </c>
      <c r="C98" s="5" t="str">
        <f>'SAP Results'!C98</f>
        <v>EX</v>
      </c>
      <c r="D98" s="5" t="str">
        <f>'SAP Results'!D98</f>
        <v>LinStatic</v>
      </c>
      <c r="E98" s="5">
        <f>'SAP Results'!E98</f>
        <v>0</v>
      </c>
      <c r="F98" s="5">
        <f>'SAP Results'!F98</f>
        <v>18.693999999999999</v>
      </c>
      <c r="G98" s="5">
        <f>'SAP Results'!G98</f>
        <v>0</v>
      </c>
      <c r="H98" s="5">
        <f>'SAP Results'!H98</f>
        <v>0</v>
      </c>
      <c r="I98" s="5">
        <f>'SAP Results'!I98</f>
        <v>0</v>
      </c>
      <c r="J98" s="5">
        <f>'SAP Results'!J98</f>
        <v>-48.283700000000003</v>
      </c>
      <c r="K98" s="5" t="str">
        <f>'SAP Results'!K98</f>
        <v>5-1</v>
      </c>
      <c r="L98" s="5">
        <f>'SAP Results'!L98</f>
        <v>6.0374999999999996</v>
      </c>
    </row>
    <row r="99" spans="1:12" ht="15.75" hidden="1" customHeight="1">
      <c r="A99" s="6" t="str">
        <f>'SAP Results'!A99</f>
        <v>5</v>
      </c>
      <c r="B99" s="5">
        <f>'SAP Results'!B99</f>
        <v>7.0437500000000002</v>
      </c>
      <c r="C99" s="5" t="str">
        <f>'SAP Results'!C99</f>
        <v>EX</v>
      </c>
      <c r="D99" s="5" t="str">
        <f>'SAP Results'!D99</f>
        <v>LinStatic</v>
      </c>
      <c r="E99" s="5">
        <f>'SAP Results'!E99</f>
        <v>0</v>
      </c>
      <c r="F99" s="5">
        <f>'SAP Results'!F99</f>
        <v>18.693999999999999</v>
      </c>
      <c r="G99" s="5">
        <f>'SAP Results'!G99</f>
        <v>0</v>
      </c>
      <c r="H99" s="5">
        <f>'SAP Results'!H99</f>
        <v>0</v>
      </c>
      <c r="I99" s="5">
        <f>'SAP Results'!I99</f>
        <v>0</v>
      </c>
      <c r="J99" s="5">
        <f>'SAP Results'!J99</f>
        <v>-67.094200000000001</v>
      </c>
      <c r="K99" s="5" t="str">
        <f>'SAP Results'!K99</f>
        <v>5-1</v>
      </c>
      <c r="L99" s="5">
        <f>'SAP Results'!L99</f>
        <v>7.0437500000000002</v>
      </c>
    </row>
    <row r="100" spans="1:12" ht="15.75" hidden="1" customHeight="1">
      <c r="A100" s="6" t="str">
        <f>'SAP Results'!A100</f>
        <v>5</v>
      </c>
      <c r="B100" s="5">
        <f>'SAP Results'!B100</f>
        <v>8.0500000000000007</v>
      </c>
      <c r="C100" s="5" t="str">
        <f>'SAP Results'!C100</f>
        <v>EX</v>
      </c>
      <c r="D100" s="5" t="str">
        <f>'SAP Results'!D100</f>
        <v>LinStatic</v>
      </c>
      <c r="E100" s="5">
        <f>'SAP Results'!E100</f>
        <v>0</v>
      </c>
      <c r="F100" s="5">
        <f>'SAP Results'!F100</f>
        <v>18.693999999999999</v>
      </c>
      <c r="G100" s="5">
        <f>'SAP Results'!G100</f>
        <v>0</v>
      </c>
      <c r="H100" s="5">
        <f>'SAP Results'!H100</f>
        <v>0</v>
      </c>
      <c r="I100" s="5">
        <f>'SAP Results'!I100</f>
        <v>0</v>
      </c>
      <c r="J100" s="5">
        <f>'SAP Results'!J100</f>
        <v>-85.904799999999994</v>
      </c>
      <c r="K100" s="5" t="str">
        <f>'SAP Results'!K100</f>
        <v>5-1</v>
      </c>
      <c r="L100" s="5">
        <f>'SAP Results'!L100</f>
        <v>8.0500000000000007</v>
      </c>
    </row>
    <row r="101" spans="1:12" ht="15.75" hidden="1" customHeight="1">
      <c r="A101" s="6" t="str">
        <f>'SAP Results'!A101</f>
        <v>5</v>
      </c>
      <c r="B101" s="5">
        <f>'SAP Results'!B101</f>
        <v>0</v>
      </c>
      <c r="C101" s="5" t="str">
        <f>'SAP Results'!C101</f>
        <v>G-1</v>
      </c>
      <c r="D101" s="5" t="str">
        <f>'SAP Results'!D101</f>
        <v>LinStatic</v>
      </c>
      <c r="E101" s="5">
        <f>'SAP Results'!E101</f>
        <v>0</v>
      </c>
      <c r="F101" s="5">
        <f>'SAP Results'!F101</f>
        <v>-10.212999999999999</v>
      </c>
      <c r="G101" s="5">
        <f>'SAP Results'!G101</f>
        <v>0</v>
      </c>
      <c r="H101" s="5">
        <f>'SAP Results'!H101</f>
        <v>0</v>
      </c>
      <c r="I101" s="5">
        <f>'SAP Results'!I101</f>
        <v>0</v>
      </c>
      <c r="J101" s="5">
        <f>'SAP Results'!J101</f>
        <v>-72.061999999999998</v>
      </c>
      <c r="K101" s="5" t="str">
        <f>'SAP Results'!K101</f>
        <v>5-1</v>
      </c>
      <c r="L101" s="5">
        <f>'SAP Results'!L101</f>
        <v>0</v>
      </c>
    </row>
    <row r="102" spans="1:12" ht="15.75" hidden="1" customHeight="1">
      <c r="A102" s="6" t="str">
        <f>'SAP Results'!A102</f>
        <v>5</v>
      </c>
      <c r="B102" s="5">
        <f>'SAP Results'!B102</f>
        <v>1.0062500000000001</v>
      </c>
      <c r="C102" s="5" t="str">
        <f>'SAP Results'!C102</f>
        <v>G-1</v>
      </c>
      <c r="D102" s="5" t="str">
        <f>'SAP Results'!D102</f>
        <v>LinStatic</v>
      </c>
      <c r="E102" s="5">
        <f>'SAP Results'!E102</f>
        <v>0</v>
      </c>
      <c r="F102" s="5">
        <f>'SAP Results'!F102</f>
        <v>-10.212999999999999</v>
      </c>
      <c r="G102" s="5">
        <f>'SAP Results'!G102</f>
        <v>0</v>
      </c>
      <c r="H102" s="5">
        <f>'SAP Results'!H102</f>
        <v>0</v>
      </c>
      <c r="I102" s="5">
        <f>'SAP Results'!I102</f>
        <v>0</v>
      </c>
      <c r="J102" s="5">
        <f>'SAP Results'!J102</f>
        <v>-61.784999999999997</v>
      </c>
      <c r="K102" s="5" t="str">
        <f>'SAP Results'!K102</f>
        <v>5-1</v>
      </c>
      <c r="L102" s="5">
        <f>'SAP Results'!L102</f>
        <v>1.0062500000000001</v>
      </c>
    </row>
    <row r="103" spans="1:12" ht="15.75" hidden="1" customHeight="1">
      <c r="A103" s="6" t="str">
        <f>'SAP Results'!A103</f>
        <v>5</v>
      </c>
      <c r="B103" s="5">
        <f>'SAP Results'!B103</f>
        <v>2.0125000000000002</v>
      </c>
      <c r="C103" s="5" t="str">
        <f>'SAP Results'!C103</f>
        <v>G-1</v>
      </c>
      <c r="D103" s="5" t="str">
        <f>'SAP Results'!D103</f>
        <v>LinStatic</v>
      </c>
      <c r="E103" s="5">
        <f>'SAP Results'!E103</f>
        <v>0</v>
      </c>
      <c r="F103" s="5">
        <f>'SAP Results'!F103</f>
        <v>-10.212999999999999</v>
      </c>
      <c r="G103" s="5">
        <f>'SAP Results'!G103</f>
        <v>0</v>
      </c>
      <c r="H103" s="5">
        <f>'SAP Results'!H103</f>
        <v>0</v>
      </c>
      <c r="I103" s="5">
        <f>'SAP Results'!I103</f>
        <v>0</v>
      </c>
      <c r="J103" s="5">
        <f>'SAP Results'!J103</f>
        <v>-51.507899999999999</v>
      </c>
      <c r="K103" s="5" t="str">
        <f>'SAP Results'!K103</f>
        <v>5-1</v>
      </c>
      <c r="L103" s="5">
        <f>'SAP Results'!L103</f>
        <v>2.0125000000000002</v>
      </c>
    </row>
    <row r="104" spans="1:12" ht="15.75" hidden="1" customHeight="1">
      <c r="A104" s="6" t="str">
        <f>'SAP Results'!A104</f>
        <v>5</v>
      </c>
      <c r="B104" s="5">
        <f>'SAP Results'!B104</f>
        <v>3.0187499999999998</v>
      </c>
      <c r="C104" s="5" t="str">
        <f>'SAP Results'!C104</f>
        <v>G-1</v>
      </c>
      <c r="D104" s="5" t="str">
        <f>'SAP Results'!D104</f>
        <v>LinStatic</v>
      </c>
      <c r="E104" s="5">
        <f>'SAP Results'!E104</f>
        <v>0</v>
      </c>
      <c r="F104" s="5">
        <f>'SAP Results'!F104</f>
        <v>-10.212999999999999</v>
      </c>
      <c r="G104" s="5">
        <f>'SAP Results'!G104</f>
        <v>0</v>
      </c>
      <c r="H104" s="5">
        <f>'SAP Results'!H104</f>
        <v>0</v>
      </c>
      <c r="I104" s="5">
        <f>'SAP Results'!I104</f>
        <v>0</v>
      </c>
      <c r="J104" s="5">
        <f>'SAP Results'!J104</f>
        <v>-41.230899999999998</v>
      </c>
      <c r="K104" s="5" t="str">
        <f>'SAP Results'!K104</f>
        <v>5-1</v>
      </c>
      <c r="L104" s="5">
        <f>'SAP Results'!L104</f>
        <v>3.0187499999999998</v>
      </c>
    </row>
    <row r="105" spans="1:12" ht="15.75" hidden="1" customHeight="1">
      <c r="A105" s="6" t="str">
        <f>'SAP Results'!A105</f>
        <v>5</v>
      </c>
      <c r="B105" s="5">
        <f>'SAP Results'!B105</f>
        <v>4.0250000000000004</v>
      </c>
      <c r="C105" s="5" t="str">
        <f>'SAP Results'!C105</f>
        <v>G-1</v>
      </c>
      <c r="D105" s="5" t="str">
        <f>'SAP Results'!D105</f>
        <v>LinStatic</v>
      </c>
      <c r="E105" s="5">
        <f>'SAP Results'!E105</f>
        <v>0</v>
      </c>
      <c r="F105" s="5">
        <f>'SAP Results'!F105</f>
        <v>-10.212999999999999</v>
      </c>
      <c r="G105" s="5">
        <f>'SAP Results'!G105</f>
        <v>0</v>
      </c>
      <c r="H105" s="5">
        <f>'SAP Results'!H105</f>
        <v>0</v>
      </c>
      <c r="I105" s="5">
        <f>'SAP Results'!I105</f>
        <v>0</v>
      </c>
      <c r="J105" s="5">
        <f>'SAP Results'!J105</f>
        <v>-30.953800000000001</v>
      </c>
      <c r="K105" s="5" t="str">
        <f>'SAP Results'!K105</f>
        <v>5-1</v>
      </c>
      <c r="L105" s="5">
        <f>'SAP Results'!L105</f>
        <v>4.0250000000000004</v>
      </c>
    </row>
    <row r="106" spans="1:12" ht="15.75" hidden="1" customHeight="1">
      <c r="A106" s="6" t="str">
        <f>'SAP Results'!A106</f>
        <v>5</v>
      </c>
      <c r="B106" s="5">
        <f>'SAP Results'!B106</f>
        <v>5.03125</v>
      </c>
      <c r="C106" s="5" t="str">
        <f>'SAP Results'!C106</f>
        <v>G-1</v>
      </c>
      <c r="D106" s="5" t="str">
        <f>'SAP Results'!D106</f>
        <v>LinStatic</v>
      </c>
      <c r="E106" s="5">
        <f>'SAP Results'!E106</f>
        <v>0</v>
      </c>
      <c r="F106" s="5">
        <f>'SAP Results'!F106</f>
        <v>-10.212999999999999</v>
      </c>
      <c r="G106" s="5">
        <f>'SAP Results'!G106</f>
        <v>0</v>
      </c>
      <c r="H106" s="5">
        <f>'SAP Results'!H106</f>
        <v>0</v>
      </c>
      <c r="I106" s="5">
        <f>'SAP Results'!I106</f>
        <v>0</v>
      </c>
      <c r="J106" s="5">
        <f>'SAP Results'!J106</f>
        <v>-20.6768</v>
      </c>
      <c r="K106" s="5" t="str">
        <f>'SAP Results'!K106</f>
        <v>5-1</v>
      </c>
      <c r="L106" s="5">
        <f>'SAP Results'!L106</f>
        <v>5.03125</v>
      </c>
    </row>
    <row r="107" spans="1:12" ht="15.75" hidden="1" customHeight="1">
      <c r="A107" s="6" t="str">
        <f>'SAP Results'!A107</f>
        <v>5</v>
      </c>
      <c r="B107" s="5">
        <f>'SAP Results'!B107</f>
        <v>6.0374999999999996</v>
      </c>
      <c r="C107" s="5" t="str">
        <f>'SAP Results'!C107</f>
        <v>G-1</v>
      </c>
      <c r="D107" s="5" t="str">
        <f>'SAP Results'!D107</f>
        <v>LinStatic</v>
      </c>
      <c r="E107" s="5">
        <f>'SAP Results'!E107</f>
        <v>0</v>
      </c>
      <c r="F107" s="5">
        <f>'SAP Results'!F107</f>
        <v>-10.212999999999999</v>
      </c>
      <c r="G107" s="5">
        <f>'SAP Results'!G107</f>
        <v>0</v>
      </c>
      <c r="H107" s="5">
        <f>'SAP Results'!H107</f>
        <v>0</v>
      </c>
      <c r="I107" s="5">
        <f>'SAP Results'!I107</f>
        <v>0</v>
      </c>
      <c r="J107" s="5">
        <f>'SAP Results'!J107</f>
        <v>-10.399800000000001</v>
      </c>
      <c r="K107" s="5" t="str">
        <f>'SAP Results'!K107</f>
        <v>5-1</v>
      </c>
      <c r="L107" s="5">
        <f>'SAP Results'!L107</f>
        <v>6.0374999999999996</v>
      </c>
    </row>
    <row r="108" spans="1:12" ht="15.75" hidden="1" customHeight="1">
      <c r="A108" s="6" t="str">
        <f>'SAP Results'!A108</f>
        <v>5</v>
      </c>
      <c r="B108" s="5">
        <f>'SAP Results'!B108</f>
        <v>7.0437500000000002</v>
      </c>
      <c r="C108" s="5" t="str">
        <f>'SAP Results'!C108</f>
        <v>G-1</v>
      </c>
      <c r="D108" s="5" t="str">
        <f>'SAP Results'!D108</f>
        <v>LinStatic</v>
      </c>
      <c r="E108" s="5">
        <f>'SAP Results'!E108</f>
        <v>0</v>
      </c>
      <c r="F108" s="5">
        <f>'SAP Results'!F108</f>
        <v>-10.212999999999999</v>
      </c>
      <c r="G108" s="5">
        <f>'SAP Results'!G108</f>
        <v>0</v>
      </c>
      <c r="H108" s="5">
        <f>'SAP Results'!H108</f>
        <v>0</v>
      </c>
      <c r="I108" s="5">
        <f>'SAP Results'!I108</f>
        <v>0</v>
      </c>
      <c r="J108" s="5">
        <f>'SAP Results'!J108</f>
        <v>-0.1227</v>
      </c>
      <c r="K108" s="5" t="str">
        <f>'SAP Results'!K108</f>
        <v>5-1</v>
      </c>
      <c r="L108" s="5">
        <f>'SAP Results'!L108</f>
        <v>7.0437500000000002</v>
      </c>
    </row>
    <row r="109" spans="1:12" ht="15.75" hidden="1" customHeight="1">
      <c r="A109" s="6" t="str">
        <f>'SAP Results'!A109</f>
        <v>5</v>
      </c>
      <c r="B109" s="5">
        <f>'SAP Results'!B109</f>
        <v>8.0500000000000007</v>
      </c>
      <c r="C109" s="5" t="str">
        <f>'SAP Results'!C109</f>
        <v>G-1</v>
      </c>
      <c r="D109" s="5" t="str">
        <f>'SAP Results'!D109</f>
        <v>LinStatic</v>
      </c>
      <c r="E109" s="5">
        <f>'SAP Results'!E109</f>
        <v>0</v>
      </c>
      <c r="F109" s="5">
        <f>'SAP Results'!F109</f>
        <v>-10.212999999999999</v>
      </c>
      <c r="G109" s="5">
        <f>'SAP Results'!G109</f>
        <v>0</v>
      </c>
      <c r="H109" s="5">
        <f>'SAP Results'!H109</f>
        <v>0</v>
      </c>
      <c r="I109" s="5">
        <f>'SAP Results'!I109</f>
        <v>0</v>
      </c>
      <c r="J109" s="5">
        <f>'SAP Results'!J109</f>
        <v>10.154299999999999</v>
      </c>
      <c r="K109" s="5" t="str">
        <f>'SAP Results'!K109</f>
        <v>5-1</v>
      </c>
      <c r="L109" s="5">
        <f>'SAP Results'!L109</f>
        <v>8.0500000000000007</v>
      </c>
    </row>
    <row r="110" spans="1:12" ht="15.75" hidden="1" customHeight="1">
      <c r="A110" s="6" t="str">
        <f>'SAP Results'!A110</f>
        <v>5</v>
      </c>
      <c r="B110" s="5">
        <f>'SAP Results'!B110</f>
        <v>0</v>
      </c>
      <c r="C110" s="5" t="str">
        <f>'SAP Results'!C110</f>
        <v>G-2</v>
      </c>
      <c r="D110" s="5" t="str">
        <f>'SAP Results'!D110</f>
        <v>LinStatic</v>
      </c>
      <c r="E110" s="5">
        <f>'SAP Results'!E110</f>
        <v>0</v>
      </c>
      <c r="F110" s="5">
        <f>'SAP Results'!F110</f>
        <v>-168.333</v>
      </c>
      <c r="G110" s="5">
        <f>'SAP Results'!G110</f>
        <v>0</v>
      </c>
      <c r="H110" s="5">
        <f>'SAP Results'!H110</f>
        <v>0</v>
      </c>
      <c r="I110" s="5">
        <f>'SAP Results'!I110</f>
        <v>0</v>
      </c>
      <c r="J110" s="5">
        <f>'SAP Results'!J110</f>
        <v>-187.4752</v>
      </c>
      <c r="K110" s="5" t="str">
        <f>'SAP Results'!K110</f>
        <v>5-1</v>
      </c>
      <c r="L110" s="5">
        <f>'SAP Results'!L110</f>
        <v>0</v>
      </c>
    </row>
    <row r="111" spans="1:12" ht="15.75" hidden="1" customHeight="1">
      <c r="A111" s="6" t="str">
        <f>'SAP Results'!A111</f>
        <v>5</v>
      </c>
      <c r="B111" s="5">
        <f>'SAP Results'!B111</f>
        <v>1.0062500000000001</v>
      </c>
      <c r="C111" s="5" t="str">
        <f>'SAP Results'!C111</f>
        <v>G-2</v>
      </c>
      <c r="D111" s="5" t="str">
        <f>'SAP Results'!D111</f>
        <v>LinStatic</v>
      </c>
      <c r="E111" s="5">
        <f>'SAP Results'!E111</f>
        <v>0</v>
      </c>
      <c r="F111" s="5">
        <f>'SAP Results'!F111</f>
        <v>-128.19300000000001</v>
      </c>
      <c r="G111" s="5">
        <f>'SAP Results'!G111</f>
        <v>0</v>
      </c>
      <c r="H111" s="5">
        <f>'SAP Results'!H111</f>
        <v>0</v>
      </c>
      <c r="I111" s="5">
        <f>'SAP Results'!I111</f>
        <v>0</v>
      </c>
      <c r="J111" s="5">
        <f>'SAP Results'!J111</f>
        <v>-38.285499999999999</v>
      </c>
      <c r="K111" s="5" t="str">
        <f>'SAP Results'!K111</f>
        <v>5-1</v>
      </c>
      <c r="L111" s="5">
        <f>'SAP Results'!L111</f>
        <v>1.0062500000000001</v>
      </c>
    </row>
    <row r="112" spans="1:12" ht="15.75" hidden="1" customHeight="1">
      <c r="A112" s="6" t="str">
        <f>'SAP Results'!A112</f>
        <v>5</v>
      </c>
      <c r="B112" s="5">
        <f>'SAP Results'!B112</f>
        <v>2.0125000000000002</v>
      </c>
      <c r="C112" s="5" t="str">
        <f>'SAP Results'!C112</f>
        <v>G-2</v>
      </c>
      <c r="D112" s="5" t="str">
        <f>'SAP Results'!D112</f>
        <v>LinStatic</v>
      </c>
      <c r="E112" s="5">
        <f>'SAP Results'!E112</f>
        <v>0</v>
      </c>
      <c r="F112" s="5">
        <f>'SAP Results'!F112</f>
        <v>-88.054000000000002</v>
      </c>
      <c r="G112" s="5">
        <f>'SAP Results'!G112</f>
        <v>0</v>
      </c>
      <c r="H112" s="5">
        <f>'SAP Results'!H112</f>
        <v>0</v>
      </c>
      <c r="I112" s="5">
        <f>'SAP Results'!I112</f>
        <v>0</v>
      </c>
      <c r="J112" s="5">
        <f>'SAP Results'!J112</f>
        <v>70.514099999999999</v>
      </c>
      <c r="K112" s="5" t="str">
        <f>'SAP Results'!K112</f>
        <v>5-1</v>
      </c>
      <c r="L112" s="5">
        <f>'SAP Results'!L112</f>
        <v>2.0125000000000002</v>
      </c>
    </row>
    <row r="113" spans="1:12" ht="15.75" hidden="1" customHeight="1">
      <c r="A113" s="6" t="str">
        <f>'SAP Results'!A113</f>
        <v>5</v>
      </c>
      <c r="B113" s="5">
        <f>'SAP Results'!B113</f>
        <v>3.0187499999999998</v>
      </c>
      <c r="C113" s="5" t="str">
        <f>'SAP Results'!C113</f>
        <v>G-2</v>
      </c>
      <c r="D113" s="5" t="str">
        <f>'SAP Results'!D113</f>
        <v>LinStatic</v>
      </c>
      <c r="E113" s="5">
        <f>'SAP Results'!E113</f>
        <v>0</v>
      </c>
      <c r="F113" s="5">
        <f>'SAP Results'!F113</f>
        <v>-47.914999999999999</v>
      </c>
      <c r="G113" s="5">
        <f>'SAP Results'!G113</f>
        <v>0</v>
      </c>
      <c r="H113" s="5">
        <f>'SAP Results'!H113</f>
        <v>0</v>
      </c>
      <c r="I113" s="5">
        <f>'SAP Results'!I113</f>
        <v>0</v>
      </c>
      <c r="J113" s="5">
        <f>'SAP Results'!J113</f>
        <v>138.92349999999999</v>
      </c>
      <c r="K113" s="5" t="str">
        <f>'SAP Results'!K113</f>
        <v>5-1</v>
      </c>
      <c r="L113" s="5">
        <f>'SAP Results'!L113</f>
        <v>3.0187499999999998</v>
      </c>
    </row>
    <row r="114" spans="1:12" ht="15.75" hidden="1" customHeight="1">
      <c r="A114" s="6" t="str">
        <f>'SAP Results'!A114</f>
        <v>5</v>
      </c>
      <c r="B114" s="5">
        <f>'SAP Results'!B114</f>
        <v>4.0250000000000004</v>
      </c>
      <c r="C114" s="5" t="str">
        <f>'SAP Results'!C114</f>
        <v>G-2</v>
      </c>
      <c r="D114" s="5" t="str">
        <f>'SAP Results'!D114</f>
        <v>LinStatic</v>
      </c>
      <c r="E114" s="5">
        <f>'SAP Results'!E114</f>
        <v>0</v>
      </c>
      <c r="F114" s="5">
        <f>'SAP Results'!F114</f>
        <v>-7.7759999999999998</v>
      </c>
      <c r="G114" s="5">
        <f>'SAP Results'!G114</f>
        <v>0</v>
      </c>
      <c r="H114" s="5">
        <f>'SAP Results'!H114</f>
        <v>0</v>
      </c>
      <c r="I114" s="5">
        <f>'SAP Results'!I114</f>
        <v>0</v>
      </c>
      <c r="J114" s="5">
        <f>'SAP Results'!J114</f>
        <v>166.9427</v>
      </c>
      <c r="K114" s="5" t="str">
        <f>'SAP Results'!K114</f>
        <v>5-1</v>
      </c>
      <c r="L114" s="5">
        <f>'SAP Results'!L114</f>
        <v>4.0250000000000004</v>
      </c>
    </row>
    <row r="115" spans="1:12" ht="15.75" hidden="1" customHeight="1">
      <c r="A115" s="6" t="str">
        <f>'SAP Results'!A115</f>
        <v>5</v>
      </c>
      <c r="B115" s="5">
        <f>'SAP Results'!B115</f>
        <v>5.03125</v>
      </c>
      <c r="C115" s="5" t="str">
        <f>'SAP Results'!C115</f>
        <v>G-2</v>
      </c>
      <c r="D115" s="5" t="str">
        <f>'SAP Results'!D115</f>
        <v>LinStatic</v>
      </c>
      <c r="E115" s="5">
        <f>'SAP Results'!E115</f>
        <v>0</v>
      </c>
      <c r="F115" s="5">
        <f>'SAP Results'!F115</f>
        <v>32.363999999999997</v>
      </c>
      <c r="G115" s="5">
        <f>'SAP Results'!G115</f>
        <v>0</v>
      </c>
      <c r="H115" s="5">
        <f>'SAP Results'!H115</f>
        <v>0</v>
      </c>
      <c r="I115" s="5">
        <f>'SAP Results'!I115</f>
        <v>0</v>
      </c>
      <c r="J115" s="5">
        <f>'SAP Results'!J115</f>
        <v>154.5718</v>
      </c>
      <c r="K115" s="5" t="str">
        <f>'SAP Results'!K115</f>
        <v>5-1</v>
      </c>
      <c r="L115" s="5">
        <f>'SAP Results'!L115</f>
        <v>5.03125</v>
      </c>
    </row>
    <row r="116" spans="1:12" ht="15.75" hidden="1" customHeight="1">
      <c r="A116" s="6" t="str">
        <f>'SAP Results'!A116</f>
        <v>5</v>
      </c>
      <c r="B116" s="5">
        <f>'SAP Results'!B116</f>
        <v>6.0374999999999996</v>
      </c>
      <c r="C116" s="5" t="str">
        <f>'SAP Results'!C116</f>
        <v>G-2</v>
      </c>
      <c r="D116" s="5" t="str">
        <f>'SAP Results'!D116</f>
        <v>LinStatic</v>
      </c>
      <c r="E116" s="5">
        <f>'SAP Results'!E116</f>
        <v>0</v>
      </c>
      <c r="F116" s="5">
        <f>'SAP Results'!F116</f>
        <v>72.503</v>
      </c>
      <c r="G116" s="5">
        <f>'SAP Results'!G116</f>
        <v>0</v>
      </c>
      <c r="H116" s="5">
        <f>'SAP Results'!H116</f>
        <v>0</v>
      </c>
      <c r="I116" s="5">
        <f>'SAP Results'!I116</f>
        <v>0</v>
      </c>
      <c r="J116" s="5">
        <f>'SAP Results'!J116</f>
        <v>101.81059999999999</v>
      </c>
      <c r="K116" s="5" t="str">
        <f>'SAP Results'!K116</f>
        <v>5-1</v>
      </c>
      <c r="L116" s="5">
        <f>'SAP Results'!L116</f>
        <v>6.0374999999999996</v>
      </c>
    </row>
    <row r="117" spans="1:12" ht="15.75" hidden="1" customHeight="1">
      <c r="A117" s="6" t="str">
        <f>'SAP Results'!A117</f>
        <v>5</v>
      </c>
      <c r="B117" s="5">
        <f>'SAP Results'!B117</f>
        <v>7.0437500000000002</v>
      </c>
      <c r="C117" s="5" t="str">
        <f>'SAP Results'!C117</f>
        <v>G-2</v>
      </c>
      <c r="D117" s="5" t="str">
        <f>'SAP Results'!D117</f>
        <v>LinStatic</v>
      </c>
      <c r="E117" s="5">
        <f>'SAP Results'!E117</f>
        <v>0</v>
      </c>
      <c r="F117" s="5">
        <f>'SAP Results'!F117</f>
        <v>112.642</v>
      </c>
      <c r="G117" s="5">
        <f>'SAP Results'!G117</f>
        <v>0</v>
      </c>
      <c r="H117" s="5">
        <f>'SAP Results'!H117</f>
        <v>0</v>
      </c>
      <c r="I117" s="5">
        <f>'SAP Results'!I117</f>
        <v>0</v>
      </c>
      <c r="J117" s="5">
        <f>'SAP Results'!J117</f>
        <v>8.6593</v>
      </c>
      <c r="K117" s="5" t="str">
        <f>'SAP Results'!K117</f>
        <v>5-1</v>
      </c>
      <c r="L117" s="5">
        <f>'SAP Results'!L117</f>
        <v>7.0437500000000002</v>
      </c>
    </row>
    <row r="118" spans="1:12" ht="15.75" hidden="1" customHeight="1">
      <c r="A118" s="6" t="str">
        <f>'SAP Results'!A118</f>
        <v>5</v>
      </c>
      <c r="B118" s="5">
        <f>'SAP Results'!B118</f>
        <v>8.0500000000000007</v>
      </c>
      <c r="C118" s="5" t="str">
        <f>'SAP Results'!C118</f>
        <v>G-2</v>
      </c>
      <c r="D118" s="5" t="str">
        <f>'SAP Results'!D118</f>
        <v>LinStatic</v>
      </c>
      <c r="E118" s="5">
        <f>'SAP Results'!E118</f>
        <v>0</v>
      </c>
      <c r="F118" s="5">
        <f>'SAP Results'!F118</f>
        <v>152.78200000000001</v>
      </c>
      <c r="G118" s="5">
        <f>'SAP Results'!G118</f>
        <v>0</v>
      </c>
      <c r="H118" s="5">
        <f>'SAP Results'!H118</f>
        <v>0</v>
      </c>
      <c r="I118" s="5">
        <f>'SAP Results'!I118</f>
        <v>0</v>
      </c>
      <c r="J118" s="5">
        <f>'SAP Results'!J118</f>
        <v>-124.8822</v>
      </c>
      <c r="K118" s="5" t="str">
        <f>'SAP Results'!K118</f>
        <v>5-1</v>
      </c>
      <c r="L118" s="5">
        <f>'SAP Results'!L118</f>
        <v>8.0500000000000007</v>
      </c>
    </row>
    <row r="119" spans="1:12" ht="15.75" customHeight="1">
      <c r="A119" s="6" t="str">
        <f>'SAP Results'!A119</f>
        <v>5</v>
      </c>
      <c r="B119" s="5">
        <f>'SAP Results'!B119</f>
        <v>0</v>
      </c>
      <c r="C119" s="5" t="str">
        <f>'SAP Results'!C119</f>
        <v>Q-1</v>
      </c>
      <c r="D119" s="5" t="str">
        <f>'SAP Results'!D119</f>
        <v>LinStatic</v>
      </c>
      <c r="E119" s="5">
        <f>'SAP Results'!E119</f>
        <v>0</v>
      </c>
      <c r="F119" s="5">
        <f>'SAP Results'!F119</f>
        <v>-5.1529999999999996</v>
      </c>
      <c r="G119" s="5">
        <f>'SAP Results'!G119</f>
        <v>0</v>
      </c>
      <c r="H119" s="5">
        <f>'SAP Results'!H119</f>
        <v>0</v>
      </c>
      <c r="I119" s="5">
        <f>'SAP Results'!I119</f>
        <v>0</v>
      </c>
      <c r="J119" s="5">
        <f>'SAP Results'!J119</f>
        <v>-36.356200000000001</v>
      </c>
      <c r="K119" s="5" t="str">
        <f>'SAP Results'!K119</f>
        <v>5-1</v>
      </c>
      <c r="L119" s="5">
        <f>'SAP Results'!L119</f>
        <v>0</v>
      </c>
    </row>
    <row r="120" spans="1:12" ht="15.75" customHeight="1">
      <c r="A120" s="6" t="str">
        <f>'SAP Results'!A120</f>
        <v>5</v>
      </c>
      <c r="B120" s="5">
        <f>'SAP Results'!B120</f>
        <v>1.0062500000000001</v>
      </c>
      <c r="C120" s="5" t="str">
        <f>'SAP Results'!C120</f>
        <v>Q-1</v>
      </c>
      <c r="D120" s="5" t="str">
        <f>'SAP Results'!D120</f>
        <v>LinStatic</v>
      </c>
      <c r="E120" s="5">
        <f>'SAP Results'!E120</f>
        <v>0</v>
      </c>
      <c r="F120" s="5">
        <f>'SAP Results'!F120</f>
        <v>-5.1529999999999996</v>
      </c>
      <c r="G120" s="5">
        <f>'SAP Results'!G120</f>
        <v>0</v>
      </c>
      <c r="H120" s="5">
        <f>'SAP Results'!H120</f>
        <v>0</v>
      </c>
      <c r="I120" s="5">
        <f>'SAP Results'!I120</f>
        <v>0</v>
      </c>
      <c r="J120" s="5">
        <f>'SAP Results'!J120</f>
        <v>-31.171299999999999</v>
      </c>
      <c r="K120" s="5" t="str">
        <f>'SAP Results'!K120</f>
        <v>5-1</v>
      </c>
      <c r="L120" s="5">
        <f>'SAP Results'!L120</f>
        <v>1.0062500000000001</v>
      </c>
    </row>
    <row r="121" spans="1:12" ht="15.75" customHeight="1">
      <c r="A121" s="6" t="str">
        <f>'SAP Results'!A121</f>
        <v>5</v>
      </c>
      <c r="B121" s="5">
        <f>'SAP Results'!B121</f>
        <v>2.0125000000000002</v>
      </c>
      <c r="C121" s="5" t="str">
        <f>'SAP Results'!C121</f>
        <v>Q-1</v>
      </c>
      <c r="D121" s="5" t="str">
        <f>'SAP Results'!D121</f>
        <v>LinStatic</v>
      </c>
      <c r="E121" s="5">
        <f>'SAP Results'!E121</f>
        <v>0</v>
      </c>
      <c r="F121" s="5">
        <f>'SAP Results'!F121</f>
        <v>-5.1529999999999996</v>
      </c>
      <c r="G121" s="5">
        <f>'SAP Results'!G121</f>
        <v>0</v>
      </c>
      <c r="H121" s="5">
        <f>'SAP Results'!H121</f>
        <v>0</v>
      </c>
      <c r="I121" s="5">
        <f>'SAP Results'!I121</f>
        <v>0</v>
      </c>
      <c r="J121" s="5">
        <f>'SAP Results'!J121</f>
        <v>-25.9864</v>
      </c>
      <c r="K121" s="5" t="str">
        <f>'SAP Results'!K121</f>
        <v>5-1</v>
      </c>
      <c r="L121" s="5">
        <f>'SAP Results'!L121</f>
        <v>2.0125000000000002</v>
      </c>
    </row>
    <row r="122" spans="1:12" ht="15.75" customHeight="1">
      <c r="A122" s="6" t="str">
        <f>'SAP Results'!A122</f>
        <v>5</v>
      </c>
      <c r="B122" s="5">
        <f>'SAP Results'!B122</f>
        <v>3.0187499999999998</v>
      </c>
      <c r="C122" s="5" t="str">
        <f>'SAP Results'!C122</f>
        <v>Q-1</v>
      </c>
      <c r="D122" s="5" t="str">
        <f>'SAP Results'!D122</f>
        <v>LinStatic</v>
      </c>
      <c r="E122" s="5">
        <f>'SAP Results'!E122</f>
        <v>0</v>
      </c>
      <c r="F122" s="5">
        <f>'SAP Results'!F122</f>
        <v>-5.1529999999999996</v>
      </c>
      <c r="G122" s="5">
        <f>'SAP Results'!G122</f>
        <v>0</v>
      </c>
      <c r="H122" s="5">
        <f>'SAP Results'!H122</f>
        <v>0</v>
      </c>
      <c r="I122" s="5">
        <f>'SAP Results'!I122</f>
        <v>0</v>
      </c>
      <c r="J122" s="5">
        <f>'SAP Results'!J122</f>
        <v>-20.801500000000001</v>
      </c>
      <c r="K122" s="5" t="str">
        <f>'SAP Results'!K122</f>
        <v>5-1</v>
      </c>
      <c r="L122" s="5">
        <f>'SAP Results'!L122</f>
        <v>3.0187499999999998</v>
      </c>
    </row>
    <row r="123" spans="1:12" ht="15.75" customHeight="1">
      <c r="A123" s="6" t="str">
        <f>'SAP Results'!A123</f>
        <v>5</v>
      </c>
      <c r="B123" s="5">
        <f>'SAP Results'!B123</f>
        <v>4.0250000000000004</v>
      </c>
      <c r="C123" s="5" t="str">
        <f>'SAP Results'!C123</f>
        <v>Q-1</v>
      </c>
      <c r="D123" s="5" t="str">
        <f>'SAP Results'!D123</f>
        <v>LinStatic</v>
      </c>
      <c r="E123" s="5">
        <f>'SAP Results'!E123</f>
        <v>0</v>
      </c>
      <c r="F123" s="5">
        <f>'SAP Results'!F123</f>
        <v>-5.1529999999999996</v>
      </c>
      <c r="G123" s="5">
        <f>'SAP Results'!G123</f>
        <v>0</v>
      </c>
      <c r="H123" s="5">
        <f>'SAP Results'!H123</f>
        <v>0</v>
      </c>
      <c r="I123" s="5">
        <f>'SAP Results'!I123</f>
        <v>0</v>
      </c>
      <c r="J123" s="5">
        <f>'SAP Results'!J123</f>
        <v>-15.6166</v>
      </c>
      <c r="K123" s="5" t="str">
        <f>'SAP Results'!K123</f>
        <v>5-1</v>
      </c>
      <c r="L123" s="5">
        <f>'SAP Results'!L123</f>
        <v>4.0250000000000004</v>
      </c>
    </row>
    <row r="124" spans="1:12" ht="15.75" customHeight="1">
      <c r="A124" s="6" t="str">
        <f>'SAP Results'!A124</f>
        <v>5</v>
      </c>
      <c r="B124" s="5">
        <f>'SAP Results'!B124</f>
        <v>5.03125</v>
      </c>
      <c r="C124" s="5" t="str">
        <f>'SAP Results'!C124</f>
        <v>Q-1</v>
      </c>
      <c r="D124" s="5" t="str">
        <f>'SAP Results'!D124</f>
        <v>LinStatic</v>
      </c>
      <c r="E124" s="5">
        <f>'SAP Results'!E124</f>
        <v>0</v>
      </c>
      <c r="F124" s="5">
        <f>'SAP Results'!F124</f>
        <v>-5.1529999999999996</v>
      </c>
      <c r="G124" s="5">
        <f>'SAP Results'!G124</f>
        <v>0</v>
      </c>
      <c r="H124" s="5">
        <f>'SAP Results'!H124</f>
        <v>0</v>
      </c>
      <c r="I124" s="5">
        <f>'SAP Results'!I124</f>
        <v>0</v>
      </c>
      <c r="J124" s="5">
        <f>'SAP Results'!J124</f>
        <v>-10.431699999999999</v>
      </c>
      <c r="K124" s="5" t="str">
        <f>'SAP Results'!K124</f>
        <v>5-1</v>
      </c>
      <c r="L124" s="5">
        <f>'SAP Results'!L124</f>
        <v>5.03125</v>
      </c>
    </row>
    <row r="125" spans="1:12" ht="15.75" customHeight="1">
      <c r="A125" s="6" t="str">
        <f>'SAP Results'!A125</f>
        <v>5</v>
      </c>
      <c r="B125" s="5">
        <f>'SAP Results'!B125</f>
        <v>6.0374999999999996</v>
      </c>
      <c r="C125" s="5" t="str">
        <f>'SAP Results'!C125</f>
        <v>Q-1</v>
      </c>
      <c r="D125" s="5" t="str">
        <f>'SAP Results'!D125</f>
        <v>LinStatic</v>
      </c>
      <c r="E125" s="5">
        <f>'SAP Results'!E125</f>
        <v>0</v>
      </c>
      <c r="F125" s="5">
        <f>'SAP Results'!F125</f>
        <v>-5.1529999999999996</v>
      </c>
      <c r="G125" s="5">
        <f>'SAP Results'!G125</f>
        <v>0</v>
      </c>
      <c r="H125" s="5">
        <f>'SAP Results'!H125</f>
        <v>0</v>
      </c>
      <c r="I125" s="5">
        <f>'SAP Results'!I125</f>
        <v>0</v>
      </c>
      <c r="J125" s="5">
        <f>'SAP Results'!J125</f>
        <v>-5.2468000000000004</v>
      </c>
      <c r="K125" s="5" t="str">
        <f>'SAP Results'!K125</f>
        <v>5-1</v>
      </c>
      <c r="L125" s="5">
        <f>'SAP Results'!L125</f>
        <v>6.0374999999999996</v>
      </c>
    </row>
    <row r="126" spans="1:12" ht="15.75" customHeight="1">
      <c r="A126" s="6" t="str">
        <f>'SAP Results'!A126</f>
        <v>5</v>
      </c>
      <c r="B126" s="5">
        <f>'SAP Results'!B126</f>
        <v>7.0437500000000002</v>
      </c>
      <c r="C126" s="5" t="str">
        <f>'SAP Results'!C126</f>
        <v>Q-1</v>
      </c>
      <c r="D126" s="5" t="str">
        <f>'SAP Results'!D126</f>
        <v>LinStatic</v>
      </c>
      <c r="E126" s="5">
        <f>'SAP Results'!E126</f>
        <v>0</v>
      </c>
      <c r="F126" s="5">
        <f>'SAP Results'!F126</f>
        <v>-5.1529999999999996</v>
      </c>
      <c r="G126" s="5">
        <f>'SAP Results'!G126</f>
        <v>0</v>
      </c>
      <c r="H126" s="5">
        <f>'SAP Results'!H126</f>
        <v>0</v>
      </c>
      <c r="I126" s="5">
        <f>'SAP Results'!I126</f>
        <v>0</v>
      </c>
      <c r="J126" s="5">
        <f>'SAP Results'!J126</f>
        <v>-6.1899999999999997E-2</v>
      </c>
      <c r="K126" s="5" t="str">
        <f>'SAP Results'!K126</f>
        <v>5-1</v>
      </c>
      <c r="L126" s="5">
        <f>'SAP Results'!L126</f>
        <v>7.0437500000000002</v>
      </c>
    </row>
    <row r="127" spans="1:12" ht="15.75" customHeight="1">
      <c r="A127" s="6" t="str">
        <f>'SAP Results'!A127</f>
        <v>5</v>
      </c>
      <c r="B127" s="5">
        <f>'SAP Results'!B127</f>
        <v>8.0500000000000007</v>
      </c>
      <c r="C127" s="5" t="str">
        <f>'SAP Results'!C127</f>
        <v>Q-1</v>
      </c>
      <c r="D127" s="5" t="str">
        <f>'SAP Results'!D127</f>
        <v>LinStatic</v>
      </c>
      <c r="E127" s="5">
        <f>'SAP Results'!E127</f>
        <v>0</v>
      </c>
      <c r="F127" s="5">
        <f>'SAP Results'!F127</f>
        <v>-5.1529999999999996</v>
      </c>
      <c r="G127" s="5">
        <f>'SAP Results'!G127</f>
        <v>0</v>
      </c>
      <c r="H127" s="5">
        <f>'SAP Results'!H127</f>
        <v>0</v>
      </c>
      <c r="I127" s="5">
        <f>'SAP Results'!I127</f>
        <v>0</v>
      </c>
      <c r="J127" s="5">
        <f>'SAP Results'!J127</f>
        <v>5.1230000000000002</v>
      </c>
      <c r="K127" s="5" t="str">
        <f>'SAP Results'!K127</f>
        <v>5-1</v>
      </c>
      <c r="L127" s="5">
        <f>'SAP Results'!L127</f>
        <v>8.0500000000000007</v>
      </c>
    </row>
    <row r="128" spans="1:12" ht="15.75" hidden="1" customHeight="1">
      <c r="A128" s="6" t="str">
        <f>'SAP Results'!A128</f>
        <v>5</v>
      </c>
      <c r="B128" s="5">
        <f>'SAP Results'!B128</f>
        <v>0</v>
      </c>
      <c r="C128" s="5" t="str">
        <f>'SAP Results'!C128</f>
        <v>Q-2</v>
      </c>
      <c r="D128" s="5" t="str">
        <f>'SAP Results'!D128</f>
        <v>LinStatic</v>
      </c>
      <c r="E128" s="5">
        <f>'SAP Results'!E128</f>
        <v>0</v>
      </c>
      <c r="F128" s="5">
        <f>'SAP Results'!F128</f>
        <v>-84.926000000000002</v>
      </c>
      <c r="G128" s="5">
        <f>'SAP Results'!G128</f>
        <v>0</v>
      </c>
      <c r="H128" s="5">
        <f>'SAP Results'!H128</f>
        <v>0</v>
      </c>
      <c r="I128" s="5">
        <f>'SAP Results'!I128</f>
        <v>0</v>
      </c>
      <c r="J128" s="5">
        <f>'SAP Results'!J128</f>
        <v>-94.583600000000004</v>
      </c>
      <c r="K128" s="5" t="str">
        <f>'SAP Results'!K128</f>
        <v>5-1</v>
      </c>
      <c r="L128" s="5">
        <f>'SAP Results'!L128</f>
        <v>0</v>
      </c>
    </row>
    <row r="129" spans="1:12" ht="15.75" hidden="1" customHeight="1">
      <c r="A129" s="6" t="str">
        <f>'SAP Results'!A129</f>
        <v>5</v>
      </c>
      <c r="B129" s="5">
        <f>'SAP Results'!B129</f>
        <v>1.0062500000000001</v>
      </c>
      <c r="C129" s="5" t="str">
        <f>'SAP Results'!C129</f>
        <v>Q-2</v>
      </c>
      <c r="D129" s="5" t="str">
        <f>'SAP Results'!D129</f>
        <v>LinStatic</v>
      </c>
      <c r="E129" s="5">
        <f>'SAP Results'!E129</f>
        <v>0</v>
      </c>
      <c r="F129" s="5">
        <f>'SAP Results'!F129</f>
        <v>-64.674999999999997</v>
      </c>
      <c r="G129" s="5">
        <f>'SAP Results'!G129</f>
        <v>0</v>
      </c>
      <c r="H129" s="5">
        <f>'SAP Results'!H129</f>
        <v>0</v>
      </c>
      <c r="I129" s="5">
        <f>'SAP Results'!I129</f>
        <v>0</v>
      </c>
      <c r="J129" s="5">
        <f>'SAP Results'!J129</f>
        <v>-19.3155</v>
      </c>
      <c r="K129" s="5" t="str">
        <f>'SAP Results'!K129</f>
        <v>5-1</v>
      </c>
      <c r="L129" s="5">
        <f>'SAP Results'!L129</f>
        <v>1.0062500000000001</v>
      </c>
    </row>
    <row r="130" spans="1:12" ht="15.75" hidden="1" customHeight="1">
      <c r="A130" s="6" t="str">
        <f>'SAP Results'!A130</f>
        <v>5</v>
      </c>
      <c r="B130" s="5">
        <f>'SAP Results'!B130</f>
        <v>2.0125000000000002</v>
      </c>
      <c r="C130" s="5" t="str">
        <f>'SAP Results'!C130</f>
        <v>Q-2</v>
      </c>
      <c r="D130" s="5" t="str">
        <f>'SAP Results'!D130</f>
        <v>LinStatic</v>
      </c>
      <c r="E130" s="5">
        <f>'SAP Results'!E130</f>
        <v>0</v>
      </c>
      <c r="F130" s="5">
        <f>'SAP Results'!F130</f>
        <v>-44.423999999999999</v>
      </c>
      <c r="G130" s="5">
        <f>'SAP Results'!G130</f>
        <v>0</v>
      </c>
      <c r="H130" s="5">
        <f>'SAP Results'!H130</f>
        <v>0</v>
      </c>
      <c r="I130" s="5">
        <f>'SAP Results'!I130</f>
        <v>0</v>
      </c>
      <c r="J130" s="5">
        <f>'SAP Results'!J130</f>
        <v>35.575299999999999</v>
      </c>
      <c r="K130" s="5" t="str">
        <f>'SAP Results'!K130</f>
        <v>5-1</v>
      </c>
      <c r="L130" s="5">
        <f>'SAP Results'!L130</f>
        <v>2.0125000000000002</v>
      </c>
    </row>
    <row r="131" spans="1:12" ht="15.75" hidden="1" customHeight="1">
      <c r="A131" s="6" t="str">
        <f>'SAP Results'!A131</f>
        <v>5</v>
      </c>
      <c r="B131" s="5">
        <f>'SAP Results'!B131</f>
        <v>3.0187499999999998</v>
      </c>
      <c r="C131" s="5" t="str">
        <f>'SAP Results'!C131</f>
        <v>Q-2</v>
      </c>
      <c r="D131" s="5" t="str">
        <f>'SAP Results'!D131</f>
        <v>LinStatic</v>
      </c>
      <c r="E131" s="5">
        <f>'SAP Results'!E131</f>
        <v>0</v>
      </c>
      <c r="F131" s="5">
        <f>'SAP Results'!F131</f>
        <v>-24.173999999999999</v>
      </c>
      <c r="G131" s="5">
        <f>'SAP Results'!G131</f>
        <v>0</v>
      </c>
      <c r="H131" s="5">
        <f>'SAP Results'!H131</f>
        <v>0</v>
      </c>
      <c r="I131" s="5">
        <f>'SAP Results'!I131</f>
        <v>0</v>
      </c>
      <c r="J131" s="5">
        <f>'SAP Results'!J131</f>
        <v>70.0886</v>
      </c>
      <c r="K131" s="5" t="str">
        <f>'SAP Results'!K131</f>
        <v>5-1</v>
      </c>
      <c r="L131" s="5">
        <f>'SAP Results'!L131</f>
        <v>3.0187499999999998</v>
      </c>
    </row>
    <row r="132" spans="1:12" ht="15.75" hidden="1" customHeight="1">
      <c r="A132" s="6" t="str">
        <f>'SAP Results'!A132</f>
        <v>5</v>
      </c>
      <c r="B132" s="5">
        <f>'SAP Results'!B132</f>
        <v>4.0250000000000004</v>
      </c>
      <c r="C132" s="5" t="str">
        <f>'SAP Results'!C132</f>
        <v>Q-2</v>
      </c>
      <c r="D132" s="5" t="str">
        <f>'SAP Results'!D132</f>
        <v>LinStatic</v>
      </c>
      <c r="E132" s="5">
        <f>'SAP Results'!E132</f>
        <v>0</v>
      </c>
      <c r="F132" s="5">
        <f>'SAP Results'!F132</f>
        <v>-3.923</v>
      </c>
      <c r="G132" s="5">
        <f>'SAP Results'!G132</f>
        <v>0</v>
      </c>
      <c r="H132" s="5">
        <f>'SAP Results'!H132</f>
        <v>0</v>
      </c>
      <c r="I132" s="5">
        <f>'SAP Results'!I132</f>
        <v>0</v>
      </c>
      <c r="J132" s="5">
        <f>'SAP Results'!J132</f>
        <v>84.224699999999999</v>
      </c>
      <c r="K132" s="5" t="str">
        <f>'SAP Results'!K132</f>
        <v>5-1</v>
      </c>
      <c r="L132" s="5">
        <f>'SAP Results'!L132</f>
        <v>4.0250000000000004</v>
      </c>
    </row>
    <row r="133" spans="1:12" ht="15.75" hidden="1" customHeight="1">
      <c r="A133" s="6" t="str">
        <f>'SAP Results'!A133</f>
        <v>5</v>
      </c>
      <c r="B133" s="5">
        <f>'SAP Results'!B133</f>
        <v>5.03125</v>
      </c>
      <c r="C133" s="5" t="str">
        <f>'SAP Results'!C133</f>
        <v>Q-2</v>
      </c>
      <c r="D133" s="5" t="str">
        <f>'SAP Results'!D133</f>
        <v>LinStatic</v>
      </c>
      <c r="E133" s="5">
        <f>'SAP Results'!E133</f>
        <v>0</v>
      </c>
      <c r="F133" s="5">
        <f>'SAP Results'!F133</f>
        <v>16.327999999999999</v>
      </c>
      <c r="G133" s="5">
        <f>'SAP Results'!G133</f>
        <v>0</v>
      </c>
      <c r="H133" s="5">
        <f>'SAP Results'!H133</f>
        <v>0</v>
      </c>
      <c r="I133" s="5">
        <f>'SAP Results'!I133</f>
        <v>0</v>
      </c>
      <c r="J133" s="5">
        <f>'SAP Results'!J133</f>
        <v>77.983400000000003</v>
      </c>
      <c r="K133" s="5" t="str">
        <f>'SAP Results'!K133</f>
        <v>5-1</v>
      </c>
      <c r="L133" s="5">
        <f>'SAP Results'!L133</f>
        <v>5.03125</v>
      </c>
    </row>
    <row r="134" spans="1:12" ht="15.75" hidden="1" customHeight="1">
      <c r="A134" s="6" t="str">
        <f>'SAP Results'!A134</f>
        <v>5</v>
      </c>
      <c r="B134" s="5">
        <f>'SAP Results'!B134</f>
        <v>6.0374999999999996</v>
      </c>
      <c r="C134" s="5" t="str">
        <f>'SAP Results'!C134</f>
        <v>Q-2</v>
      </c>
      <c r="D134" s="5" t="str">
        <f>'SAP Results'!D134</f>
        <v>LinStatic</v>
      </c>
      <c r="E134" s="5">
        <f>'SAP Results'!E134</f>
        <v>0</v>
      </c>
      <c r="F134" s="5">
        <f>'SAP Results'!F134</f>
        <v>36.579000000000001</v>
      </c>
      <c r="G134" s="5">
        <f>'SAP Results'!G134</f>
        <v>0</v>
      </c>
      <c r="H134" s="5">
        <f>'SAP Results'!H134</f>
        <v>0</v>
      </c>
      <c r="I134" s="5">
        <f>'SAP Results'!I134</f>
        <v>0</v>
      </c>
      <c r="J134" s="5">
        <f>'SAP Results'!J134</f>
        <v>51.364699999999999</v>
      </c>
      <c r="K134" s="5" t="str">
        <f>'SAP Results'!K134</f>
        <v>5-1</v>
      </c>
      <c r="L134" s="5">
        <f>'SAP Results'!L134</f>
        <v>6.0374999999999996</v>
      </c>
    </row>
    <row r="135" spans="1:12" ht="15.75" hidden="1" customHeight="1">
      <c r="A135" s="6" t="str">
        <f>'SAP Results'!A135</f>
        <v>5</v>
      </c>
      <c r="B135" s="5">
        <f>'SAP Results'!B135</f>
        <v>7.0437500000000002</v>
      </c>
      <c r="C135" s="5" t="str">
        <f>'SAP Results'!C135</f>
        <v>Q-2</v>
      </c>
      <c r="D135" s="5" t="str">
        <f>'SAP Results'!D135</f>
        <v>LinStatic</v>
      </c>
      <c r="E135" s="5">
        <f>'SAP Results'!E135</f>
        <v>0</v>
      </c>
      <c r="F135" s="5">
        <f>'SAP Results'!F135</f>
        <v>56.829000000000001</v>
      </c>
      <c r="G135" s="5">
        <f>'SAP Results'!G135</f>
        <v>0</v>
      </c>
      <c r="H135" s="5">
        <f>'SAP Results'!H135</f>
        <v>0</v>
      </c>
      <c r="I135" s="5">
        <f>'SAP Results'!I135</f>
        <v>0</v>
      </c>
      <c r="J135" s="5">
        <f>'SAP Results'!J135</f>
        <v>4.3686999999999996</v>
      </c>
      <c r="K135" s="5" t="str">
        <f>'SAP Results'!K135</f>
        <v>5-1</v>
      </c>
      <c r="L135" s="5">
        <f>'SAP Results'!L135</f>
        <v>7.0437500000000002</v>
      </c>
    </row>
    <row r="136" spans="1:12" ht="15.75" hidden="1" customHeight="1">
      <c r="A136" s="6" t="str">
        <f>'SAP Results'!A136</f>
        <v>5</v>
      </c>
      <c r="B136" s="5">
        <f>'SAP Results'!B136</f>
        <v>8.0500000000000007</v>
      </c>
      <c r="C136" s="5" t="str">
        <f>'SAP Results'!C136</f>
        <v>Q-2</v>
      </c>
      <c r="D136" s="5" t="str">
        <f>'SAP Results'!D136</f>
        <v>LinStatic</v>
      </c>
      <c r="E136" s="5">
        <f>'SAP Results'!E136</f>
        <v>0</v>
      </c>
      <c r="F136" s="5">
        <f>'SAP Results'!F136</f>
        <v>77.08</v>
      </c>
      <c r="G136" s="5">
        <f>'SAP Results'!G136</f>
        <v>0</v>
      </c>
      <c r="H136" s="5">
        <f>'SAP Results'!H136</f>
        <v>0</v>
      </c>
      <c r="I136" s="5">
        <f>'SAP Results'!I136</f>
        <v>0</v>
      </c>
      <c r="J136" s="5">
        <f>'SAP Results'!J136</f>
        <v>-63.004600000000003</v>
      </c>
      <c r="K136" s="5" t="str">
        <f>'SAP Results'!K136</f>
        <v>5-1</v>
      </c>
      <c r="L136" s="5">
        <f>'SAP Results'!L136</f>
        <v>8.0500000000000007</v>
      </c>
    </row>
    <row r="137" spans="1:12" ht="15.75" customHeight="1"/>
    <row r="138" spans="1:12" ht="15.75" customHeight="1"/>
    <row r="139" spans="1:12" ht="15.75" customHeight="1"/>
    <row r="140" spans="1:12" ht="15.75" customHeight="1"/>
    <row r="141" spans="1:12" ht="15.75" customHeight="1"/>
    <row r="142" spans="1:12" ht="15.75" customHeight="1"/>
    <row r="143" spans="1:12" ht="15.75" customHeight="1"/>
    <row r="144" spans="1:12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L136" xr:uid="{00000000-0009-0000-0000-000003000000}">
    <filterColumn colId="2">
      <filters>
        <filter val="Q-1"/>
      </filters>
    </filterColumn>
  </autoFilter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L1000"/>
  <sheetViews>
    <sheetView workbookViewId="0"/>
  </sheetViews>
  <sheetFormatPr defaultColWidth="14.42578125" defaultRowHeight="15" customHeight="1"/>
  <cols>
    <col min="1" max="1" width="8.7109375" customWidth="1"/>
    <col min="2" max="10" width="9.140625" style="5" customWidth="1"/>
    <col min="11" max="11" width="8.7109375" customWidth="1"/>
    <col min="12" max="12" width="9.140625" style="5" customWidth="1"/>
    <col min="13" max="26" width="8.7109375" customWidth="1"/>
  </cols>
  <sheetData>
    <row r="1" spans="1:12">
      <c r="A1" s="4" t="str">
        <f>'SAP Results'!A1</f>
        <v>Frame</v>
      </c>
      <c r="B1" s="5" t="str">
        <f>'SAP Results'!B1</f>
        <v>Station</v>
      </c>
      <c r="C1" s="5" t="str">
        <f>'SAP Results'!C1</f>
        <v>OutputCase</v>
      </c>
      <c r="D1" s="5" t="str">
        <f>'SAP Results'!D1</f>
        <v>CaseType</v>
      </c>
      <c r="E1" s="5" t="str">
        <f>'SAP Results'!E1</f>
        <v>P</v>
      </c>
      <c r="F1" s="5" t="str">
        <f>'SAP Results'!F1</f>
        <v>V2</v>
      </c>
      <c r="G1" s="5" t="str">
        <f>'SAP Results'!G1</f>
        <v>V3</v>
      </c>
      <c r="H1" s="5" t="str">
        <f>'SAP Results'!H1</f>
        <v>T</v>
      </c>
      <c r="I1" s="5" t="str">
        <f>'SAP Results'!I1</f>
        <v>M2</v>
      </c>
      <c r="J1" s="5" t="str">
        <f>'SAP Results'!J1</f>
        <v>M3</v>
      </c>
      <c r="K1" s="4" t="str">
        <f>'SAP Results'!K1</f>
        <v>FrameElem</v>
      </c>
      <c r="L1" s="5" t="str">
        <f>'SAP Results'!L1</f>
        <v>ElemStation</v>
      </c>
    </row>
    <row r="2" spans="1:12" hidden="1">
      <c r="A2" s="6" t="str">
        <f>'SAP Results'!A2</f>
        <v>1</v>
      </c>
      <c r="B2" s="5">
        <f>'SAP Results'!B2</f>
        <v>0</v>
      </c>
      <c r="C2" s="5" t="str">
        <f>'SAP Results'!C2</f>
        <v>EX</v>
      </c>
      <c r="D2" s="5" t="str">
        <f>'SAP Results'!D2</f>
        <v>LinStatic</v>
      </c>
      <c r="E2" s="5">
        <f>'SAP Results'!E2</f>
        <v>18.693999999999999</v>
      </c>
      <c r="F2" s="5">
        <f>'SAP Results'!F2</f>
        <v>40.723999999999997</v>
      </c>
      <c r="G2" s="5">
        <f>'SAP Results'!G2</f>
        <v>0</v>
      </c>
      <c r="H2" s="5">
        <f>'SAP Results'!H2</f>
        <v>0</v>
      </c>
      <c r="I2" s="5">
        <f>'SAP Results'!I2</f>
        <v>0</v>
      </c>
      <c r="J2" s="5">
        <f>'SAP Results'!J2</f>
        <v>125.8599</v>
      </c>
      <c r="K2" s="6" t="str">
        <f>'SAP Results'!K2</f>
        <v>1-1</v>
      </c>
      <c r="L2" s="5">
        <f>'SAP Results'!L2</f>
        <v>0</v>
      </c>
    </row>
    <row r="3" spans="1:12" hidden="1">
      <c r="A3" s="6" t="str">
        <f>'SAP Results'!A3</f>
        <v>1</v>
      </c>
      <c r="B3" s="5">
        <f>'SAP Results'!B3</f>
        <v>2.6</v>
      </c>
      <c r="C3" s="5" t="str">
        <f>'SAP Results'!C3</f>
        <v>EX</v>
      </c>
      <c r="D3" s="5" t="str">
        <f>'SAP Results'!D3</f>
        <v>LinStatic</v>
      </c>
      <c r="E3" s="5">
        <f>'SAP Results'!E3</f>
        <v>18.693999999999999</v>
      </c>
      <c r="F3" s="5">
        <f>'SAP Results'!F3</f>
        <v>40.723999999999997</v>
      </c>
      <c r="G3" s="5">
        <f>'SAP Results'!G3</f>
        <v>0</v>
      </c>
      <c r="H3" s="5">
        <f>'SAP Results'!H3</f>
        <v>0</v>
      </c>
      <c r="I3" s="5">
        <f>'SAP Results'!I3</f>
        <v>0</v>
      </c>
      <c r="J3" s="5">
        <f>'SAP Results'!J3</f>
        <v>19.977599999999999</v>
      </c>
      <c r="K3" s="6" t="str">
        <f>'SAP Results'!K3</f>
        <v>1-1</v>
      </c>
      <c r="L3" s="5">
        <f>'SAP Results'!L3</f>
        <v>2.6</v>
      </c>
    </row>
    <row r="4" spans="1:12" hidden="1">
      <c r="A4" s="6" t="str">
        <f>'SAP Results'!A4</f>
        <v>1</v>
      </c>
      <c r="B4" s="5">
        <f>'SAP Results'!B4</f>
        <v>5.2</v>
      </c>
      <c r="C4" s="5" t="str">
        <f>'SAP Results'!C4</f>
        <v>EX</v>
      </c>
      <c r="D4" s="5" t="str">
        <f>'SAP Results'!D4</f>
        <v>LinStatic</v>
      </c>
      <c r="E4" s="5">
        <f>'SAP Results'!E4</f>
        <v>18.693999999999999</v>
      </c>
      <c r="F4" s="5">
        <f>'SAP Results'!F4</f>
        <v>40.723999999999997</v>
      </c>
      <c r="G4" s="5">
        <f>'SAP Results'!G4</f>
        <v>0</v>
      </c>
      <c r="H4" s="5">
        <f>'SAP Results'!H4</f>
        <v>0</v>
      </c>
      <c r="I4" s="5">
        <f>'SAP Results'!I4</f>
        <v>0</v>
      </c>
      <c r="J4" s="5">
        <f>'SAP Results'!J4</f>
        <v>-85.904799999999994</v>
      </c>
      <c r="K4" s="6" t="str">
        <f>'SAP Results'!K4</f>
        <v>1-1</v>
      </c>
      <c r="L4" s="5">
        <f>'SAP Results'!L4</f>
        <v>5.2</v>
      </c>
    </row>
    <row r="5" spans="1:12" hidden="1">
      <c r="A5" s="6" t="str">
        <f>'SAP Results'!A5</f>
        <v>1</v>
      </c>
      <c r="B5" s="5">
        <f>'SAP Results'!B5</f>
        <v>0</v>
      </c>
      <c r="C5" s="5" t="str">
        <f>'SAP Results'!C5</f>
        <v>G-1</v>
      </c>
      <c r="D5" s="5" t="str">
        <f>'SAP Results'!D5</f>
        <v>LinStatic</v>
      </c>
      <c r="E5" s="5">
        <f>'SAP Results'!E5</f>
        <v>-152.78200000000001</v>
      </c>
      <c r="F5" s="5">
        <f>'SAP Results'!F5</f>
        <v>-33.564999999999998</v>
      </c>
      <c r="G5" s="5">
        <f>'SAP Results'!G5</f>
        <v>0</v>
      </c>
      <c r="H5" s="5">
        <f>'SAP Results'!H5</f>
        <v>0</v>
      </c>
      <c r="I5" s="5">
        <f>'SAP Results'!I5</f>
        <v>0</v>
      </c>
      <c r="J5" s="5">
        <f>'SAP Results'!J5</f>
        <v>-49.655099999999997</v>
      </c>
      <c r="K5" s="6" t="str">
        <f>'SAP Results'!K5</f>
        <v>1-1</v>
      </c>
      <c r="L5" s="5">
        <f>'SAP Results'!L5</f>
        <v>0</v>
      </c>
    </row>
    <row r="6" spans="1:12" hidden="1">
      <c r="A6" s="6" t="str">
        <f>'SAP Results'!A6</f>
        <v>1</v>
      </c>
      <c r="B6" s="5">
        <f>'SAP Results'!B6</f>
        <v>2.6</v>
      </c>
      <c r="C6" s="5" t="str">
        <f>'SAP Results'!C6</f>
        <v>G-1</v>
      </c>
      <c r="D6" s="5" t="str">
        <f>'SAP Results'!D6</f>
        <v>LinStatic</v>
      </c>
      <c r="E6" s="5">
        <f>'SAP Results'!E6</f>
        <v>-152.78200000000001</v>
      </c>
      <c r="F6" s="5">
        <f>'SAP Results'!F6</f>
        <v>-33.564999999999998</v>
      </c>
      <c r="G6" s="5">
        <f>'SAP Results'!G6</f>
        <v>0</v>
      </c>
      <c r="H6" s="5">
        <f>'SAP Results'!H6</f>
        <v>0</v>
      </c>
      <c r="I6" s="5">
        <f>'SAP Results'!I6</f>
        <v>0</v>
      </c>
      <c r="J6" s="5">
        <f>'SAP Results'!J6</f>
        <v>37.613599999999998</v>
      </c>
      <c r="K6" s="6" t="str">
        <f>'SAP Results'!K6</f>
        <v>1-1</v>
      </c>
      <c r="L6" s="5">
        <f>'SAP Results'!L6</f>
        <v>2.6</v>
      </c>
    </row>
    <row r="7" spans="1:12" hidden="1">
      <c r="A7" s="6" t="str">
        <f>'SAP Results'!A7</f>
        <v>1</v>
      </c>
      <c r="B7" s="5">
        <f>'SAP Results'!B7</f>
        <v>5.2</v>
      </c>
      <c r="C7" s="5" t="str">
        <f>'SAP Results'!C7</f>
        <v>G-1</v>
      </c>
      <c r="D7" s="5" t="str">
        <f>'SAP Results'!D7</f>
        <v>LinStatic</v>
      </c>
      <c r="E7" s="5">
        <f>'SAP Results'!E7</f>
        <v>-152.78200000000001</v>
      </c>
      <c r="F7" s="5">
        <f>'SAP Results'!F7</f>
        <v>-33.564999999999998</v>
      </c>
      <c r="G7" s="5">
        <f>'SAP Results'!G7</f>
        <v>0</v>
      </c>
      <c r="H7" s="5">
        <f>'SAP Results'!H7</f>
        <v>0</v>
      </c>
      <c r="I7" s="5">
        <f>'SAP Results'!I7</f>
        <v>0</v>
      </c>
      <c r="J7" s="5">
        <f>'SAP Results'!J7</f>
        <v>124.8822</v>
      </c>
      <c r="K7" s="6" t="str">
        <f>'SAP Results'!K7</f>
        <v>1-1</v>
      </c>
      <c r="L7" s="5">
        <f>'SAP Results'!L7</f>
        <v>5.2</v>
      </c>
    </row>
    <row r="8" spans="1:12" hidden="1">
      <c r="A8" s="6" t="str">
        <f>'SAP Results'!A8</f>
        <v>1</v>
      </c>
      <c r="B8" s="5">
        <f>'SAP Results'!B8</f>
        <v>0</v>
      </c>
      <c r="C8" s="5" t="str">
        <f>'SAP Results'!C8</f>
        <v>G-2</v>
      </c>
      <c r="D8" s="5" t="str">
        <f>'SAP Results'!D8</f>
        <v>LinStatic</v>
      </c>
      <c r="E8" s="5">
        <f>'SAP Results'!E8</f>
        <v>10.212999999999999</v>
      </c>
      <c r="F8" s="5">
        <f>'SAP Results'!F8</f>
        <v>1.0249999999999999</v>
      </c>
      <c r="G8" s="5">
        <f>'SAP Results'!G8</f>
        <v>0</v>
      </c>
      <c r="H8" s="5">
        <f>'SAP Results'!H8</f>
        <v>0</v>
      </c>
      <c r="I8" s="5">
        <f>'SAP Results'!I8</f>
        <v>0</v>
      </c>
      <c r="J8" s="5">
        <f>'SAP Results'!J8</f>
        <v>-4.8253000000000004</v>
      </c>
      <c r="K8" s="6" t="str">
        <f>'SAP Results'!K8</f>
        <v>1-1</v>
      </c>
      <c r="L8" s="5">
        <f>'SAP Results'!L8</f>
        <v>0</v>
      </c>
    </row>
    <row r="9" spans="1:12" hidden="1">
      <c r="A9" s="6" t="str">
        <f>'SAP Results'!A9</f>
        <v>1</v>
      </c>
      <c r="B9" s="5">
        <f>'SAP Results'!B9</f>
        <v>2.6</v>
      </c>
      <c r="C9" s="5" t="str">
        <f>'SAP Results'!C9</f>
        <v>G-2</v>
      </c>
      <c r="D9" s="5" t="str">
        <f>'SAP Results'!D9</f>
        <v>LinStatic</v>
      </c>
      <c r="E9" s="5">
        <f>'SAP Results'!E9</f>
        <v>10.212999999999999</v>
      </c>
      <c r="F9" s="5">
        <f>'SAP Results'!F9</f>
        <v>1.0249999999999999</v>
      </c>
      <c r="G9" s="5">
        <f>'SAP Results'!G9</f>
        <v>0</v>
      </c>
      <c r="H9" s="5">
        <f>'SAP Results'!H9</f>
        <v>0</v>
      </c>
      <c r="I9" s="5">
        <f>'SAP Results'!I9</f>
        <v>0</v>
      </c>
      <c r="J9" s="5">
        <f>'SAP Results'!J9</f>
        <v>-7.4897999999999998</v>
      </c>
      <c r="K9" s="6" t="str">
        <f>'SAP Results'!K9</f>
        <v>1-1</v>
      </c>
      <c r="L9" s="5">
        <f>'SAP Results'!L9</f>
        <v>2.6</v>
      </c>
    </row>
    <row r="10" spans="1:12" hidden="1">
      <c r="A10" s="6" t="str">
        <f>'SAP Results'!A10</f>
        <v>1</v>
      </c>
      <c r="B10" s="5">
        <f>'SAP Results'!B10</f>
        <v>5.2</v>
      </c>
      <c r="C10" s="5" t="str">
        <f>'SAP Results'!C10</f>
        <v>G-2</v>
      </c>
      <c r="D10" s="5" t="str">
        <f>'SAP Results'!D10</f>
        <v>LinStatic</v>
      </c>
      <c r="E10" s="5">
        <f>'SAP Results'!E10</f>
        <v>10.212999999999999</v>
      </c>
      <c r="F10" s="5">
        <f>'SAP Results'!F10</f>
        <v>1.0249999999999999</v>
      </c>
      <c r="G10" s="5">
        <f>'SAP Results'!G10</f>
        <v>0</v>
      </c>
      <c r="H10" s="5">
        <f>'SAP Results'!H10</f>
        <v>0</v>
      </c>
      <c r="I10" s="5">
        <f>'SAP Results'!I10</f>
        <v>0</v>
      </c>
      <c r="J10" s="5">
        <f>'SAP Results'!J10</f>
        <v>-10.154299999999999</v>
      </c>
      <c r="K10" s="6" t="str">
        <f>'SAP Results'!K10</f>
        <v>1-1</v>
      </c>
      <c r="L10" s="5">
        <f>'SAP Results'!L10</f>
        <v>5.2</v>
      </c>
    </row>
    <row r="11" spans="1:12" hidden="1">
      <c r="A11" s="6" t="str">
        <f>'SAP Results'!A11</f>
        <v>1</v>
      </c>
      <c r="B11" s="5">
        <f>'SAP Results'!B11</f>
        <v>0</v>
      </c>
      <c r="C11" s="5" t="str">
        <f>'SAP Results'!C11</f>
        <v>Q-1</v>
      </c>
      <c r="D11" s="5" t="str">
        <f>'SAP Results'!D11</f>
        <v>LinStatic</v>
      </c>
      <c r="E11" s="5">
        <f>'SAP Results'!E11</f>
        <v>-77.08</v>
      </c>
      <c r="F11" s="5">
        <f>'SAP Results'!F11</f>
        <v>-16.934000000000001</v>
      </c>
      <c r="G11" s="5">
        <f>'SAP Results'!G11</f>
        <v>0</v>
      </c>
      <c r="H11" s="5">
        <f>'SAP Results'!H11</f>
        <v>0</v>
      </c>
      <c r="I11" s="5">
        <f>'SAP Results'!I11</f>
        <v>0</v>
      </c>
      <c r="J11" s="5">
        <f>'SAP Results'!J11</f>
        <v>-25.051600000000001</v>
      </c>
      <c r="K11" s="6" t="str">
        <f>'SAP Results'!K11</f>
        <v>1-1</v>
      </c>
      <c r="L11" s="5">
        <f>'SAP Results'!L11</f>
        <v>0</v>
      </c>
    </row>
    <row r="12" spans="1:12" hidden="1">
      <c r="A12" s="6" t="str">
        <f>'SAP Results'!A12</f>
        <v>1</v>
      </c>
      <c r="B12" s="5">
        <f>'SAP Results'!B12</f>
        <v>2.6</v>
      </c>
      <c r="C12" s="5" t="str">
        <f>'SAP Results'!C12</f>
        <v>Q-1</v>
      </c>
      <c r="D12" s="5" t="str">
        <f>'SAP Results'!D12</f>
        <v>LinStatic</v>
      </c>
      <c r="E12" s="5">
        <f>'SAP Results'!E12</f>
        <v>-77.08</v>
      </c>
      <c r="F12" s="5">
        <f>'SAP Results'!F12</f>
        <v>-16.934000000000001</v>
      </c>
      <c r="G12" s="5">
        <f>'SAP Results'!G12</f>
        <v>0</v>
      </c>
      <c r="H12" s="5">
        <f>'SAP Results'!H12</f>
        <v>0</v>
      </c>
      <c r="I12" s="5">
        <f>'SAP Results'!I12</f>
        <v>0</v>
      </c>
      <c r="J12" s="5">
        <f>'SAP Results'!J12</f>
        <v>18.976500000000001</v>
      </c>
      <c r="K12" s="6" t="str">
        <f>'SAP Results'!K12</f>
        <v>1-1</v>
      </c>
      <c r="L12" s="5">
        <f>'SAP Results'!L12</f>
        <v>2.6</v>
      </c>
    </row>
    <row r="13" spans="1:12" hidden="1">
      <c r="A13" s="6" t="str">
        <f>'SAP Results'!A13</f>
        <v>1</v>
      </c>
      <c r="B13" s="5">
        <f>'SAP Results'!B13</f>
        <v>5.2</v>
      </c>
      <c r="C13" s="5" t="str">
        <f>'SAP Results'!C13</f>
        <v>Q-1</v>
      </c>
      <c r="D13" s="5" t="str">
        <f>'SAP Results'!D13</f>
        <v>LinStatic</v>
      </c>
      <c r="E13" s="5">
        <f>'SAP Results'!E13</f>
        <v>-77.08</v>
      </c>
      <c r="F13" s="5">
        <f>'SAP Results'!F13</f>
        <v>-16.934000000000001</v>
      </c>
      <c r="G13" s="5">
        <f>'SAP Results'!G13</f>
        <v>0</v>
      </c>
      <c r="H13" s="5">
        <f>'SAP Results'!H13</f>
        <v>0</v>
      </c>
      <c r="I13" s="5">
        <f>'SAP Results'!I13</f>
        <v>0</v>
      </c>
      <c r="J13" s="5">
        <f>'SAP Results'!J13</f>
        <v>63.004600000000003</v>
      </c>
      <c r="K13" s="6" t="str">
        <f>'SAP Results'!K13</f>
        <v>1-1</v>
      </c>
      <c r="L13" s="5">
        <f>'SAP Results'!L13</f>
        <v>5.2</v>
      </c>
    </row>
    <row r="14" spans="1:12">
      <c r="A14" s="6" t="str">
        <f>'SAP Results'!A14</f>
        <v>1</v>
      </c>
      <c r="B14" s="5">
        <f>'SAP Results'!B14</f>
        <v>0</v>
      </c>
      <c r="C14" s="5" t="str">
        <f>'SAP Results'!C14</f>
        <v>Q-2</v>
      </c>
      <c r="D14" s="5" t="str">
        <f>'SAP Results'!D14</f>
        <v>LinStatic</v>
      </c>
      <c r="E14" s="5">
        <f>'SAP Results'!E14</f>
        <v>5.1529999999999996</v>
      </c>
      <c r="F14" s="5">
        <f>'SAP Results'!F14</f>
        <v>0.51700000000000002</v>
      </c>
      <c r="G14" s="5">
        <f>'SAP Results'!G14</f>
        <v>0</v>
      </c>
      <c r="H14" s="5">
        <f>'SAP Results'!H14</f>
        <v>0</v>
      </c>
      <c r="I14" s="5">
        <f>'SAP Results'!I14</f>
        <v>0</v>
      </c>
      <c r="J14" s="5">
        <f>'SAP Results'!J14</f>
        <v>-2.4344000000000001</v>
      </c>
      <c r="K14" s="6" t="str">
        <f>'SAP Results'!K14</f>
        <v>1-1</v>
      </c>
      <c r="L14" s="5">
        <f>'SAP Results'!L14</f>
        <v>0</v>
      </c>
    </row>
    <row r="15" spans="1:12">
      <c r="A15" s="6" t="str">
        <f>'SAP Results'!A15</f>
        <v>1</v>
      </c>
      <c r="B15" s="5">
        <f>'SAP Results'!B15</f>
        <v>2.6</v>
      </c>
      <c r="C15" s="5" t="str">
        <f>'SAP Results'!C15</f>
        <v>Q-2</v>
      </c>
      <c r="D15" s="5" t="str">
        <f>'SAP Results'!D15</f>
        <v>LinStatic</v>
      </c>
      <c r="E15" s="5">
        <f>'SAP Results'!E15</f>
        <v>5.1529999999999996</v>
      </c>
      <c r="F15" s="5">
        <f>'SAP Results'!F15</f>
        <v>0.51700000000000002</v>
      </c>
      <c r="G15" s="5">
        <f>'SAP Results'!G15</f>
        <v>0</v>
      </c>
      <c r="H15" s="5">
        <f>'SAP Results'!H15</f>
        <v>0</v>
      </c>
      <c r="I15" s="5">
        <f>'SAP Results'!I15</f>
        <v>0</v>
      </c>
      <c r="J15" s="5">
        <f>'SAP Results'!J15</f>
        <v>-3.7787000000000002</v>
      </c>
      <c r="K15" s="6" t="str">
        <f>'SAP Results'!K15</f>
        <v>1-1</v>
      </c>
      <c r="L15" s="5">
        <f>'SAP Results'!L15</f>
        <v>2.6</v>
      </c>
    </row>
    <row r="16" spans="1:12">
      <c r="A16" s="6" t="str">
        <f>'SAP Results'!A16</f>
        <v>1</v>
      </c>
      <c r="B16" s="5">
        <f>'SAP Results'!B16</f>
        <v>5.2</v>
      </c>
      <c r="C16" s="5" t="str">
        <f>'SAP Results'!C16</f>
        <v>Q-2</v>
      </c>
      <c r="D16" s="5" t="str">
        <f>'SAP Results'!D16</f>
        <v>LinStatic</v>
      </c>
      <c r="E16" s="5">
        <f>'SAP Results'!E16</f>
        <v>5.1529999999999996</v>
      </c>
      <c r="F16" s="5">
        <f>'SAP Results'!F16</f>
        <v>0.51700000000000002</v>
      </c>
      <c r="G16" s="5">
        <f>'SAP Results'!G16</f>
        <v>0</v>
      </c>
      <c r="H16" s="5">
        <f>'SAP Results'!H16</f>
        <v>0</v>
      </c>
      <c r="I16" s="5">
        <f>'SAP Results'!I16</f>
        <v>0</v>
      </c>
      <c r="J16" s="5">
        <f>'SAP Results'!J16</f>
        <v>-5.1230000000000002</v>
      </c>
      <c r="K16" s="6" t="str">
        <f>'SAP Results'!K16</f>
        <v>1-1</v>
      </c>
      <c r="L16" s="5">
        <f>'SAP Results'!L16</f>
        <v>5.2</v>
      </c>
    </row>
    <row r="17" spans="1:12" hidden="1">
      <c r="A17" s="6" t="str">
        <f>'SAP Results'!A17</f>
        <v>2</v>
      </c>
      <c r="B17" s="5">
        <f>'SAP Results'!B17</f>
        <v>0</v>
      </c>
      <c r="C17" s="5" t="str">
        <f>'SAP Results'!C17</f>
        <v>EX</v>
      </c>
      <c r="D17" s="5" t="str">
        <f>'SAP Results'!D17</f>
        <v>LinStatic</v>
      </c>
      <c r="E17" s="5">
        <f>'SAP Results'!E17</f>
        <v>6.5729999999999995E-16</v>
      </c>
      <c r="F17" s="5">
        <f>'SAP Results'!F17</f>
        <v>52.991999999999997</v>
      </c>
      <c r="G17" s="5">
        <f>'SAP Results'!G17</f>
        <v>0</v>
      </c>
      <c r="H17" s="5">
        <f>'SAP Results'!H17</f>
        <v>0</v>
      </c>
      <c r="I17" s="5">
        <f>'SAP Results'!I17</f>
        <v>0</v>
      </c>
      <c r="J17" s="5">
        <f>'SAP Results'!J17</f>
        <v>146.3998</v>
      </c>
      <c r="K17" s="6" t="str">
        <f>'SAP Results'!K17</f>
        <v>2-1</v>
      </c>
      <c r="L17" s="5">
        <f>'SAP Results'!L17</f>
        <v>0</v>
      </c>
    </row>
    <row r="18" spans="1:12" hidden="1">
      <c r="A18" s="6" t="str">
        <f>'SAP Results'!A18</f>
        <v>2</v>
      </c>
      <c r="B18" s="5">
        <f>'SAP Results'!B18</f>
        <v>2.6</v>
      </c>
      <c r="C18" s="5" t="str">
        <f>'SAP Results'!C18</f>
        <v>EX</v>
      </c>
      <c r="D18" s="5" t="str">
        <f>'SAP Results'!D18</f>
        <v>LinStatic</v>
      </c>
      <c r="E18" s="5">
        <f>'SAP Results'!E18</f>
        <v>6.5729999999999995E-16</v>
      </c>
      <c r="F18" s="5">
        <f>'SAP Results'!F18</f>
        <v>52.991999999999997</v>
      </c>
      <c r="G18" s="5">
        <f>'SAP Results'!G18</f>
        <v>0</v>
      </c>
      <c r="H18" s="5">
        <f>'SAP Results'!H18</f>
        <v>0</v>
      </c>
      <c r="I18" s="5">
        <f>'SAP Results'!I18</f>
        <v>0</v>
      </c>
      <c r="J18" s="5">
        <f>'SAP Results'!J18</f>
        <v>8.6204999999999998</v>
      </c>
      <c r="K18" s="6" t="str">
        <f>'SAP Results'!K18</f>
        <v>2-1</v>
      </c>
      <c r="L18" s="5">
        <f>'SAP Results'!L18</f>
        <v>2.6</v>
      </c>
    </row>
    <row r="19" spans="1:12" hidden="1">
      <c r="A19" s="6" t="str">
        <f>'SAP Results'!A19</f>
        <v>2</v>
      </c>
      <c r="B19" s="5">
        <f>'SAP Results'!B19</f>
        <v>5.2</v>
      </c>
      <c r="C19" s="5" t="str">
        <f>'SAP Results'!C19</f>
        <v>EX</v>
      </c>
      <c r="D19" s="5" t="str">
        <f>'SAP Results'!D19</f>
        <v>LinStatic</v>
      </c>
      <c r="E19" s="5">
        <f>'SAP Results'!E19</f>
        <v>6.5729999999999995E-16</v>
      </c>
      <c r="F19" s="5">
        <f>'SAP Results'!F19</f>
        <v>52.991999999999997</v>
      </c>
      <c r="G19" s="5">
        <f>'SAP Results'!G19</f>
        <v>0</v>
      </c>
      <c r="H19" s="5">
        <f>'SAP Results'!H19</f>
        <v>0</v>
      </c>
      <c r="I19" s="5">
        <f>'SAP Results'!I19</f>
        <v>0</v>
      </c>
      <c r="J19" s="5">
        <f>'SAP Results'!J19</f>
        <v>-129.15889999999999</v>
      </c>
      <c r="K19" s="6" t="str">
        <f>'SAP Results'!K19</f>
        <v>2-1</v>
      </c>
      <c r="L19" s="5">
        <f>'SAP Results'!L19</f>
        <v>5.2</v>
      </c>
    </row>
    <row r="20" spans="1:12" hidden="1">
      <c r="A20" s="6" t="str">
        <f>'SAP Results'!A20</f>
        <v>2</v>
      </c>
      <c r="B20" s="5">
        <f>'SAP Results'!B20</f>
        <v>0</v>
      </c>
      <c r="C20" s="5" t="str">
        <f>'SAP Results'!C20</f>
        <v>G-1</v>
      </c>
      <c r="D20" s="5" t="str">
        <f>'SAP Results'!D20</f>
        <v>LinStatic</v>
      </c>
      <c r="E20" s="5">
        <f>'SAP Results'!E20</f>
        <v>-178.54599999999999</v>
      </c>
      <c r="F20" s="5">
        <f>'SAP Results'!F20</f>
        <v>34.590000000000003</v>
      </c>
      <c r="G20" s="5">
        <f>'SAP Results'!G20</f>
        <v>0</v>
      </c>
      <c r="H20" s="5">
        <f>'SAP Results'!H20</f>
        <v>0</v>
      </c>
      <c r="I20" s="5">
        <f>'SAP Results'!I20</f>
        <v>0</v>
      </c>
      <c r="J20" s="5">
        <f>'SAP Results'!J20</f>
        <v>64.453100000000006</v>
      </c>
      <c r="K20" s="6" t="str">
        <f>'SAP Results'!K20</f>
        <v>2-1</v>
      </c>
      <c r="L20" s="5">
        <f>'SAP Results'!L20</f>
        <v>0</v>
      </c>
    </row>
    <row r="21" spans="1:12" ht="15.75" hidden="1" customHeight="1">
      <c r="A21" s="6" t="str">
        <f>'SAP Results'!A21</f>
        <v>2</v>
      </c>
      <c r="B21" s="5">
        <f>'SAP Results'!B21</f>
        <v>2.6</v>
      </c>
      <c r="C21" s="5" t="str">
        <f>'SAP Results'!C21</f>
        <v>G-1</v>
      </c>
      <c r="D21" s="5" t="str">
        <f>'SAP Results'!D21</f>
        <v>LinStatic</v>
      </c>
      <c r="E21" s="5">
        <f>'SAP Results'!E21</f>
        <v>-178.54599999999999</v>
      </c>
      <c r="F21" s="5">
        <f>'SAP Results'!F21</f>
        <v>34.590000000000003</v>
      </c>
      <c r="G21" s="5">
        <f>'SAP Results'!G21</f>
        <v>0</v>
      </c>
      <c r="H21" s="5">
        <f>'SAP Results'!H21</f>
        <v>0</v>
      </c>
      <c r="I21" s="5">
        <f>'SAP Results'!I21</f>
        <v>0</v>
      </c>
      <c r="J21" s="5">
        <f>'SAP Results'!J21</f>
        <v>-25.48</v>
      </c>
      <c r="K21" s="6" t="str">
        <f>'SAP Results'!K21</f>
        <v>2-1</v>
      </c>
      <c r="L21" s="5">
        <f>'SAP Results'!L21</f>
        <v>2.6</v>
      </c>
    </row>
    <row r="22" spans="1:12" ht="15.75" hidden="1" customHeight="1">
      <c r="A22" s="6" t="str">
        <f>'SAP Results'!A22</f>
        <v>2</v>
      </c>
      <c r="B22" s="5">
        <f>'SAP Results'!B22</f>
        <v>5.2</v>
      </c>
      <c r="C22" s="5" t="str">
        <f>'SAP Results'!C22</f>
        <v>G-1</v>
      </c>
      <c r="D22" s="5" t="str">
        <f>'SAP Results'!D22</f>
        <v>LinStatic</v>
      </c>
      <c r="E22" s="5">
        <f>'SAP Results'!E22</f>
        <v>-178.54599999999999</v>
      </c>
      <c r="F22" s="5">
        <f>'SAP Results'!F22</f>
        <v>34.590000000000003</v>
      </c>
      <c r="G22" s="5">
        <f>'SAP Results'!G22</f>
        <v>0</v>
      </c>
      <c r="H22" s="5">
        <f>'SAP Results'!H22</f>
        <v>0</v>
      </c>
      <c r="I22" s="5">
        <f>'SAP Results'!I22</f>
        <v>0</v>
      </c>
      <c r="J22" s="5">
        <f>'SAP Results'!J22</f>
        <v>-115.4132</v>
      </c>
      <c r="K22" s="6" t="str">
        <f>'SAP Results'!K22</f>
        <v>2-1</v>
      </c>
      <c r="L22" s="5">
        <f>'SAP Results'!L22</f>
        <v>5.2</v>
      </c>
    </row>
    <row r="23" spans="1:12" ht="15.75" hidden="1" customHeight="1">
      <c r="A23" s="6" t="str">
        <f>'SAP Results'!A23</f>
        <v>2</v>
      </c>
      <c r="B23" s="5">
        <f>'SAP Results'!B23</f>
        <v>0</v>
      </c>
      <c r="C23" s="5" t="str">
        <f>'SAP Results'!C23</f>
        <v>G-2</v>
      </c>
      <c r="D23" s="5" t="str">
        <f>'SAP Results'!D23</f>
        <v>LinStatic</v>
      </c>
      <c r="E23" s="5">
        <f>'SAP Results'!E23</f>
        <v>-178.54599999999999</v>
      </c>
      <c r="F23" s="5">
        <f>'SAP Results'!F23</f>
        <v>-34.590000000000003</v>
      </c>
      <c r="G23" s="5">
        <f>'SAP Results'!G23</f>
        <v>0</v>
      </c>
      <c r="H23" s="5">
        <f>'SAP Results'!H23</f>
        <v>0</v>
      </c>
      <c r="I23" s="5">
        <f>'SAP Results'!I23</f>
        <v>0</v>
      </c>
      <c r="J23" s="5">
        <f>'SAP Results'!J23</f>
        <v>-64.453100000000006</v>
      </c>
      <c r="K23" s="6" t="str">
        <f>'SAP Results'!K23</f>
        <v>2-1</v>
      </c>
      <c r="L23" s="5">
        <f>'SAP Results'!L23</f>
        <v>0</v>
      </c>
    </row>
    <row r="24" spans="1:12" ht="15.75" hidden="1" customHeight="1">
      <c r="A24" s="6" t="str">
        <f>'SAP Results'!A24</f>
        <v>2</v>
      </c>
      <c r="B24" s="5">
        <f>'SAP Results'!B24</f>
        <v>2.6</v>
      </c>
      <c r="C24" s="5" t="str">
        <f>'SAP Results'!C24</f>
        <v>G-2</v>
      </c>
      <c r="D24" s="5" t="str">
        <f>'SAP Results'!D24</f>
        <v>LinStatic</v>
      </c>
      <c r="E24" s="5">
        <f>'SAP Results'!E24</f>
        <v>-178.54599999999999</v>
      </c>
      <c r="F24" s="5">
        <f>'SAP Results'!F24</f>
        <v>-34.590000000000003</v>
      </c>
      <c r="G24" s="5">
        <f>'SAP Results'!G24</f>
        <v>0</v>
      </c>
      <c r="H24" s="5">
        <f>'SAP Results'!H24</f>
        <v>0</v>
      </c>
      <c r="I24" s="5">
        <f>'SAP Results'!I24</f>
        <v>0</v>
      </c>
      <c r="J24" s="5">
        <f>'SAP Results'!J24</f>
        <v>25.48</v>
      </c>
      <c r="K24" s="6" t="str">
        <f>'SAP Results'!K24</f>
        <v>2-1</v>
      </c>
      <c r="L24" s="5">
        <f>'SAP Results'!L24</f>
        <v>2.6</v>
      </c>
    </row>
    <row r="25" spans="1:12" ht="15.75" hidden="1" customHeight="1">
      <c r="A25" s="6" t="str">
        <f>'SAP Results'!A25</f>
        <v>2</v>
      </c>
      <c r="B25" s="5">
        <f>'SAP Results'!B25</f>
        <v>5.2</v>
      </c>
      <c r="C25" s="5" t="str">
        <f>'SAP Results'!C25</f>
        <v>G-2</v>
      </c>
      <c r="D25" s="5" t="str">
        <f>'SAP Results'!D25</f>
        <v>LinStatic</v>
      </c>
      <c r="E25" s="5">
        <f>'SAP Results'!E25</f>
        <v>-178.54599999999999</v>
      </c>
      <c r="F25" s="5">
        <f>'SAP Results'!F25</f>
        <v>-34.590000000000003</v>
      </c>
      <c r="G25" s="5">
        <f>'SAP Results'!G25</f>
        <v>0</v>
      </c>
      <c r="H25" s="5">
        <f>'SAP Results'!H25</f>
        <v>0</v>
      </c>
      <c r="I25" s="5">
        <f>'SAP Results'!I25</f>
        <v>0</v>
      </c>
      <c r="J25" s="5">
        <f>'SAP Results'!J25</f>
        <v>115.4132</v>
      </c>
      <c r="K25" s="6" t="str">
        <f>'SAP Results'!K25</f>
        <v>2-1</v>
      </c>
      <c r="L25" s="5">
        <f>'SAP Results'!L25</f>
        <v>5.2</v>
      </c>
    </row>
    <row r="26" spans="1:12" ht="15.75" hidden="1" customHeight="1">
      <c r="A26" s="6" t="str">
        <f>'SAP Results'!A26</f>
        <v>2</v>
      </c>
      <c r="B26" s="5">
        <f>'SAP Results'!B26</f>
        <v>0</v>
      </c>
      <c r="C26" s="5" t="str">
        <f>'SAP Results'!C26</f>
        <v>Q-1</v>
      </c>
      <c r="D26" s="5" t="str">
        <f>'SAP Results'!D26</f>
        <v>LinStatic</v>
      </c>
      <c r="E26" s="5">
        <f>'SAP Results'!E26</f>
        <v>-90.078999999999994</v>
      </c>
      <c r="F26" s="5">
        <f>'SAP Results'!F26</f>
        <v>17.451000000000001</v>
      </c>
      <c r="G26" s="5">
        <f>'SAP Results'!G26</f>
        <v>0</v>
      </c>
      <c r="H26" s="5">
        <f>'SAP Results'!H26</f>
        <v>0</v>
      </c>
      <c r="I26" s="5">
        <f>'SAP Results'!I26</f>
        <v>0</v>
      </c>
      <c r="J26" s="5">
        <f>'SAP Results'!J26</f>
        <v>32.517400000000002</v>
      </c>
      <c r="K26" s="6" t="str">
        <f>'SAP Results'!K26</f>
        <v>2-1</v>
      </c>
      <c r="L26" s="5">
        <f>'SAP Results'!L26</f>
        <v>0</v>
      </c>
    </row>
    <row r="27" spans="1:12" ht="15.75" hidden="1" customHeight="1">
      <c r="A27" s="6" t="str">
        <f>'SAP Results'!A27</f>
        <v>2</v>
      </c>
      <c r="B27" s="5">
        <f>'SAP Results'!B27</f>
        <v>2.6</v>
      </c>
      <c r="C27" s="5" t="str">
        <f>'SAP Results'!C27</f>
        <v>Q-1</v>
      </c>
      <c r="D27" s="5" t="str">
        <f>'SAP Results'!D27</f>
        <v>LinStatic</v>
      </c>
      <c r="E27" s="5">
        <f>'SAP Results'!E27</f>
        <v>-90.078999999999994</v>
      </c>
      <c r="F27" s="5">
        <f>'SAP Results'!F27</f>
        <v>17.451000000000001</v>
      </c>
      <c r="G27" s="5">
        <f>'SAP Results'!G27</f>
        <v>0</v>
      </c>
      <c r="H27" s="5">
        <f>'SAP Results'!H27</f>
        <v>0</v>
      </c>
      <c r="I27" s="5">
        <f>'SAP Results'!I27</f>
        <v>0</v>
      </c>
      <c r="J27" s="5">
        <f>'SAP Results'!J27</f>
        <v>-12.855</v>
      </c>
      <c r="K27" s="6" t="str">
        <f>'SAP Results'!K27</f>
        <v>2-1</v>
      </c>
      <c r="L27" s="5">
        <f>'SAP Results'!L27</f>
        <v>2.6</v>
      </c>
    </row>
    <row r="28" spans="1:12" ht="15.75" hidden="1" customHeight="1">
      <c r="A28" s="6" t="str">
        <f>'SAP Results'!A28</f>
        <v>2</v>
      </c>
      <c r="B28" s="5">
        <f>'SAP Results'!B28</f>
        <v>5.2</v>
      </c>
      <c r="C28" s="5" t="str">
        <f>'SAP Results'!C28</f>
        <v>Q-1</v>
      </c>
      <c r="D28" s="5" t="str">
        <f>'SAP Results'!D28</f>
        <v>LinStatic</v>
      </c>
      <c r="E28" s="5">
        <f>'SAP Results'!E28</f>
        <v>-90.078999999999994</v>
      </c>
      <c r="F28" s="5">
        <f>'SAP Results'!F28</f>
        <v>17.451000000000001</v>
      </c>
      <c r="G28" s="5">
        <f>'SAP Results'!G28</f>
        <v>0</v>
      </c>
      <c r="H28" s="5">
        <f>'SAP Results'!H28</f>
        <v>0</v>
      </c>
      <c r="I28" s="5">
        <f>'SAP Results'!I28</f>
        <v>0</v>
      </c>
      <c r="J28" s="5">
        <f>'SAP Results'!J28</f>
        <v>-58.227400000000003</v>
      </c>
      <c r="K28" s="6" t="str">
        <f>'SAP Results'!K28</f>
        <v>2-1</v>
      </c>
      <c r="L28" s="5">
        <f>'SAP Results'!L28</f>
        <v>5.2</v>
      </c>
    </row>
    <row r="29" spans="1:12" ht="15.75" customHeight="1">
      <c r="A29" s="6" t="str">
        <f>'SAP Results'!A29</f>
        <v>2</v>
      </c>
      <c r="B29" s="5">
        <f>'SAP Results'!B29</f>
        <v>0</v>
      </c>
      <c r="C29" s="5" t="str">
        <f>'SAP Results'!C29</f>
        <v>Q-2</v>
      </c>
      <c r="D29" s="5" t="str">
        <f>'SAP Results'!D29</f>
        <v>LinStatic</v>
      </c>
      <c r="E29" s="5">
        <f>'SAP Results'!E29</f>
        <v>-90.078999999999994</v>
      </c>
      <c r="F29" s="5">
        <f>'SAP Results'!F29</f>
        <v>-17.451000000000001</v>
      </c>
      <c r="G29" s="5">
        <f>'SAP Results'!G29</f>
        <v>0</v>
      </c>
      <c r="H29" s="5">
        <f>'SAP Results'!H29</f>
        <v>0</v>
      </c>
      <c r="I29" s="5">
        <f>'SAP Results'!I29</f>
        <v>0</v>
      </c>
      <c r="J29" s="5">
        <f>'SAP Results'!J29</f>
        <v>-32.517400000000002</v>
      </c>
      <c r="K29" s="6" t="str">
        <f>'SAP Results'!K29</f>
        <v>2-1</v>
      </c>
      <c r="L29" s="5">
        <f>'SAP Results'!L29</f>
        <v>0</v>
      </c>
    </row>
    <row r="30" spans="1:12" ht="15.75" customHeight="1">
      <c r="A30" s="6" t="str">
        <f>'SAP Results'!A30</f>
        <v>2</v>
      </c>
      <c r="B30" s="5">
        <f>'SAP Results'!B30</f>
        <v>2.6</v>
      </c>
      <c r="C30" s="5" t="str">
        <f>'SAP Results'!C30</f>
        <v>Q-2</v>
      </c>
      <c r="D30" s="5" t="str">
        <f>'SAP Results'!D30</f>
        <v>LinStatic</v>
      </c>
      <c r="E30" s="5">
        <f>'SAP Results'!E30</f>
        <v>-90.078999999999994</v>
      </c>
      <c r="F30" s="5">
        <f>'SAP Results'!F30</f>
        <v>-17.451000000000001</v>
      </c>
      <c r="G30" s="5">
        <f>'SAP Results'!G30</f>
        <v>0</v>
      </c>
      <c r="H30" s="5">
        <f>'SAP Results'!H30</f>
        <v>0</v>
      </c>
      <c r="I30" s="5">
        <f>'SAP Results'!I30</f>
        <v>0</v>
      </c>
      <c r="J30" s="5">
        <f>'SAP Results'!J30</f>
        <v>12.855</v>
      </c>
      <c r="K30" s="6" t="str">
        <f>'SAP Results'!K30</f>
        <v>2-1</v>
      </c>
      <c r="L30" s="5">
        <f>'SAP Results'!L30</f>
        <v>2.6</v>
      </c>
    </row>
    <row r="31" spans="1:12" ht="15.75" customHeight="1">
      <c r="A31" s="6" t="str">
        <f>'SAP Results'!A31</f>
        <v>2</v>
      </c>
      <c r="B31" s="5">
        <f>'SAP Results'!B31</f>
        <v>5.2</v>
      </c>
      <c r="C31" s="5" t="str">
        <f>'SAP Results'!C31</f>
        <v>Q-2</v>
      </c>
      <c r="D31" s="5" t="str">
        <f>'SAP Results'!D31</f>
        <v>LinStatic</v>
      </c>
      <c r="E31" s="5">
        <f>'SAP Results'!E31</f>
        <v>-90.078999999999994</v>
      </c>
      <c r="F31" s="5">
        <f>'SAP Results'!F31</f>
        <v>-17.451000000000001</v>
      </c>
      <c r="G31" s="5">
        <f>'SAP Results'!G31</f>
        <v>0</v>
      </c>
      <c r="H31" s="5">
        <f>'SAP Results'!H31</f>
        <v>0</v>
      </c>
      <c r="I31" s="5">
        <f>'SAP Results'!I31</f>
        <v>0</v>
      </c>
      <c r="J31" s="5">
        <f>'SAP Results'!J31</f>
        <v>58.227400000000003</v>
      </c>
      <c r="K31" s="6" t="str">
        <f>'SAP Results'!K31</f>
        <v>2-1</v>
      </c>
      <c r="L31" s="5">
        <f>'SAP Results'!L31</f>
        <v>5.2</v>
      </c>
    </row>
    <row r="32" spans="1:12" ht="15.75" hidden="1" customHeight="1">
      <c r="A32" s="6" t="str">
        <f>'SAP Results'!A32</f>
        <v>3</v>
      </c>
      <c r="B32" s="5">
        <f>'SAP Results'!B32</f>
        <v>0</v>
      </c>
      <c r="C32" s="5" t="str">
        <f>'SAP Results'!C32</f>
        <v>EX</v>
      </c>
      <c r="D32" s="5" t="str">
        <f>'SAP Results'!D32</f>
        <v>LinStatic</v>
      </c>
      <c r="E32" s="5">
        <f>'SAP Results'!E32</f>
        <v>-18.693999999999999</v>
      </c>
      <c r="F32" s="5">
        <f>'SAP Results'!F32</f>
        <v>40.723999999999997</v>
      </c>
      <c r="G32" s="5">
        <f>'SAP Results'!G32</f>
        <v>0</v>
      </c>
      <c r="H32" s="5">
        <f>'SAP Results'!H32</f>
        <v>0</v>
      </c>
      <c r="I32" s="5">
        <f>'SAP Results'!I32</f>
        <v>0</v>
      </c>
      <c r="J32" s="5">
        <f>'SAP Results'!J32</f>
        <v>125.8599</v>
      </c>
      <c r="K32" s="6" t="str">
        <f>'SAP Results'!K32</f>
        <v>3-1</v>
      </c>
      <c r="L32" s="5">
        <f>'SAP Results'!L32</f>
        <v>0</v>
      </c>
    </row>
    <row r="33" spans="1:12" ht="15.75" hidden="1" customHeight="1">
      <c r="A33" s="6" t="str">
        <f>'SAP Results'!A33</f>
        <v>3</v>
      </c>
      <c r="B33" s="5">
        <f>'SAP Results'!B33</f>
        <v>2.6</v>
      </c>
      <c r="C33" s="5" t="str">
        <f>'SAP Results'!C33</f>
        <v>EX</v>
      </c>
      <c r="D33" s="5" t="str">
        <f>'SAP Results'!D33</f>
        <v>LinStatic</v>
      </c>
      <c r="E33" s="5">
        <f>'SAP Results'!E33</f>
        <v>-18.693999999999999</v>
      </c>
      <c r="F33" s="5">
        <f>'SAP Results'!F33</f>
        <v>40.723999999999997</v>
      </c>
      <c r="G33" s="5">
        <f>'SAP Results'!G33</f>
        <v>0</v>
      </c>
      <c r="H33" s="5">
        <f>'SAP Results'!H33</f>
        <v>0</v>
      </c>
      <c r="I33" s="5">
        <f>'SAP Results'!I33</f>
        <v>0</v>
      </c>
      <c r="J33" s="5">
        <f>'SAP Results'!J33</f>
        <v>19.977599999999999</v>
      </c>
      <c r="K33" s="6" t="str">
        <f>'SAP Results'!K33</f>
        <v>3-1</v>
      </c>
      <c r="L33" s="5">
        <f>'SAP Results'!L33</f>
        <v>2.6</v>
      </c>
    </row>
    <row r="34" spans="1:12" ht="15.75" hidden="1" customHeight="1">
      <c r="A34" s="6" t="str">
        <f>'SAP Results'!A34</f>
        <v>3</v>
      </c>
      <c r="B34" s="5">
        <f>'SAP Results'!B34</f>
        <v>5.2</v>
      </c>
      <c r="C34" s="5" t="str">
        <f>'SAP Results'!C34</f>
        <v>EX</v>
      </c>
      <c r="D34" s="5" t="str">
        <f>'SAP Results'!D34</f>
        <v>LinStatic</v>
      </c>
      <c r="E34" s="5">
        <f>'SAP Results'!E34</f>
        <v>-18.693999999999999</v>
      </c>
      <c r="F34" s="5">
        <f>'SAP Results'!F34</f>
        <v>40.723999999999997</v>
      </c>
      <c r="G34" s="5">
        <f>'SAP Results'!G34</f>
        <v>0</v>
      </c>
      <c r="H34" s="5">
        <f>'SAP Results'!H34</f>
        <v>0</v>
      </c>
      <c r="I34" s="5">
        <f>'SAP Results'!I34</f>
        <v>0</v>
      </c>
      <c r="J34" s="5">
        <f>'SAP Results'!J34</f>
        <v>-85.904799999999994</v>
      </c>
      <c r="K34" s="6" t="str">
        <f>'SAP Results'!K34</f>
        <v>3-1</v>
      </c>
      <c r="L34" s="5">
        <f>'SAP Results'!L34</f>
        <v>5.2</v>
      </c>
    </row>
    <row r="35" spans="1:12" ht="15.75" hidden="1" customHeight="1">
      <c r="A35" s="6" t="str">
        <f>'SAP Results'!A35</f>
        <v>3</v>
      </c>
      <c r="B35" s="5">
        <f>'SAP Results'!B35</f>
        <v>0</v>
      </c>
      <c r="C35" s="5" t="str">
        <f>'SAP Results'!C35</f>
        <v>G-1</v>
      </c>
      <c r="D35" s="5" t="str">
        <f>'SAP Results'!D35</f>
        <v>LinStatic</v>
      </c>
      <c r="E35" s="5">
        <f>'SAP Results'!E35</f>
        <v>10.212999999999999</v>
      </c>
      <c r="F35" s="5">
        <f>'SAP Results'!F35</f>
        <v>-1.0249999999999999</v>
      </c>
      <c r="G35" s="5">
        <f>'SAP Results'!G35</f>
        <v>0</v>
      </c>
      <c r="H35" s="5">
        <f>'SAP Results'!H35</f>
        <v>0</v>
      </c>
      <c r="I35" s="5">
        <f>'SAP Results'!I35</f>
        <v>0</v>
      </c>
      <c r="J35" s="5">
        <f>'SAP Results'!J35</f>
        <v>4.8253000000000004</v>
      </c>
      <c r="K35" s="6" t="str">
        <f>'SAP Results'!K35</f>
        <v>3-1</v>
      </c>
      <c r="L35" s="5">
        <f>'SAP Results'!L35</f>
        <v>0</v>
      </c>
    </row>
    <row r="36" spans="1:12" ht="15.75" hidden="1" customHeight="1">
      <c r="A36" s="6" t="str">
        <f>'SAP Results'!A36</f>
        <v>3</v>
      </c>
      <c r="B36" s="5">
        <f>'SAP Results'!B36</f>
        <v>2.6</v>
      </c>
      <c r="C36" s="5" t="str">
        <f>'SAP Results'!C36</f>
        <v>G-1</v>
      </c>
      <c r="D36" s="5" t="str">
        <f>'SAP Results'!D36</f>
        <v>LinStatic</v>
      </c>
      <c r="E36" s="5">
        <f>'SAP Results'!E36</f>
        <v>10.212999999999999</v>
      </c>
      <c r="F36" s="5">
        <f>'SAP Results'!F36</f>
        <v>-1.0249999999999999</v>
      </c>
      <c r="G36" s="5">
        <f>'SAP Results'!G36</f>
        <v>0</v>
      </c>
      <c r="H36" s="5">
        <f>'SAP Results'!H36</f>
        <v>0</v>
      </c>
      <c r="I36" s="5">
        <f>'SAP Results'!I36</f>
        <v>0</v>
      </c>
      <c r="J36" s="5">
        <f>'SAP Results'!J36</f>
        <v>7.4897999999999998</v>
      </c>
      <c r="K36" s="6" t="str">
        <f>'SAP Results'!K36</f>
        <v>3-1</v>
      </c>
      <c r="L36" s="5">
        <f>'SAP Results'!L36</f>
        <v>2.6</v>
      </c>
    </row>
    <row r="37" spans="1:12" ht="15.75" hidden="1" customHeight="1">
      <c r="A37" s="6" t="str">
        <f>'SAP Results'!A37</f>
        <v>3</v>
      </c>
      <c r="B37" s="5">
        <f>'SAP Results'!B37</f>
        <v>5.2</v>
      </c>
      <c r="C37" s="5" t="str">
        <f>'SAP Results'!C37</f>
        <v>G-1</v>
      </c>
      <c r="D37" s="5" t="str">
        <f>'SAP Results'!D37</f>
        <v>LinStatic</v>
      </c>
      <c r="E37" s="5">
        <f>'SAP Results'!E37</f>
        <v>10.212999999999999</v>
      </c>
      <c r="F37" s="5">
        <f>'SAP Results'!F37</f>
        <v>-1.0249999999999999</v>
      </c>
      <c r="G37" s="5">
        <f>'SAP Results'!G37</f>
        <v>0</v>
      </c>
      <c r="H37" s="5">
        <f>'SAP Results'!H37</f>
        <v>0</v>
      </c>
      <c r="I37" s="5">
        <f>'SAP Results'!I37</f>
        <v>0</v>
      </c>
      <c r="J37" s="5">
        <f>'SAP Results'!J37</f>
        <v>10.154299999999999</v>
      </c>
      <c r="K37" s="6" t="str">
        <f>'SAP Results'!K37</f>
        <v>3-1</v>
      </c>
      <c r="L37" s="5">
        <f>'SAP Results'!L37</f>
        <v>5.2</v>
      </c>
    </row>
    <row r="38" spans="1:12" ht="15.75" hidden="1" customHeight="1">
      <c r="A38" s="6" t="str">
        <f>'SAP Results'!A38</f>
        <v>3</v>
      </c>
      <c r="B38" s="5">
        <f>'SAP Results'!B38</f>
        <v>0</v>
      </c>
      <c r="C38" s="5" t="str">
        <f>'SAP Results'!C38</f>
        <v>G-2</v>
      </c>
      <c r="D38" s="5" t="str">
        <f>'SAP Results'!D38</f>
        <v>LinStatic</v>
      </c>
      <c r="E38" s="5">
        <f>'SAP Results'!E38</f>
        <v>-152.78200000000001</v>
      </c>
      <c r="F38" s="5">
        <f>'SAP Results'!F38</f>
        <v>33.564999999999998</v>
      </c>
      <c r="G38" s="5">
        <f>'SAP Results'!G38</f>
        <v>0</v>
      </c>
      <c r="H38" s="5">
        <f>'SAP Results'!H38</f>
        <v>0</v>
      </c>
      <c r="I38" s="5">
        <f>'SAP Results'!I38</f>
        <v>0</v>
      </c>
      <c r="J38" s="5">
        <f>'SAP Results'!J38</f>
        <v>49.655099999999997</v>
      </c>
      <c r="K38" s="6" t="str">
        <f>'SAP Results'!K38</f>
        <v>3-1</v>
      </c>
      <c r="L38" s="5">
        <f>'SAP Results'!L38</f>
        <v>0</v>
      </c>
    </row>
    <row r="39" spans="1:12" ht="15.75" hidden="1" customHeight="1">
      <c r="A39" s="6" t="str">
        <f>'SAP Results'!A39</f>
        <v>3</v>
      </c>
      <c r="B39" s="5">
        <f>'SAP Results'!B39</f>
        <v>2.6</v>
      </c>
      <c r="C39" s="5" t="str">
        <f>'SAP Results'!C39</f>
        <v>G-2</v>
      </c>
      <c r="D39" s="5" t="str">
        <f>'SAP Results'!D39</f>
        <v>LinStatic</v>
      </c>
      <c r="E39" s="5">
        <f>'SAP Results'!E39</f>
        <v>-152.78200000000001</v>
      </c>
      <c r="F39" s="5">
        <f>'SAP Results'!F39</f>
        <v>33.564999999999998</v>
      </c>
      <c r="G39" s="5">
        <f>'SAP Results'!G39</f>
        <v>0</v>
      </c>
      <c r="H39" s="5">
        <f>'SAP Results'!H39</f>
        <v>0</v>
      </c>
      <c r="I39" s="5">
        <f>'SAP Results'!I39</f>
        <v>0</v>
      </c>
      <c r="J39" s="5">
        <f>'SAP Results'!J39</f>
        <v>-37.613599999999998</v>
      </c>
      <c r="K39" s="6" t="str">
        <f>'SAP Results'!K39</f>
        <v>3-1</v>
      </c>
      <c r="L39" s="5">
        <f>'SAP Results'!L39</f>
        <v>2.6</v>
      </c>
    </row>
    <row r="40" spans="1:12" ht="15.75" hidden="1" customHeight="1">
      <c r="A40" s="6" t="str">
        <f>'SAP Results'!A40</f>
        <v>3</v>
      </c>
      <c r="B40" s="5">
        <f>'SAP Results'!B40</f>
        <v>5.2</v>
      </c>
      <c r="C40" s="5" t="str">
        <f>'SAP Results'!C40</f>
        <v>G-2</v>
      </c>
      <c r="D40" s="5" t="str">
        <f>'SAP Results'!D40</f>
        <v>LinStatic</v>
      </c>
      <c r="E40" s="5">
        <f>'SAP Results'!E40</f>
        <v>-152.78200000000001</v>
      </c>
      <c r="F40" s="5">
        <f>'SAP Results'!F40</f>
        <v>33.564999999999998</v>
      </c>
      <c r="G40" s="5">
        <f>'SAP Results'!G40</f>
        <v>0</v>
      </c>
      <c r="H40" s="5">
        <f>'SAP Results'!H40</f>
        <v>0</v>
      </c>
      <c r="I40" s="5">
        <f>'SAP Results'!I40</f>
        <v>0</v>
      </c>
      <c r="J40" s="5">
        <f>'SAP Results'!J40</f>
        <v>-124.8822</v>
      </c>
      <c r="K40" s="6" t="str">
        <f>'SAP Results'!K40</f>
        <v>3-1</v>
      </c>
      <c r="L40" s="5">
        <f>'SAP Results'!L40</f>
        <v>5.2</v>
      </c>
    </row>
    <row r="41" spans="1:12" ht="15.75" hidden="1" customHeight="1">
      <c r="A41" s="6" t="str">
        <f>'SAP Results'!A41</f>
        <v>3</v>
      </c>
      <c r="B41" s="5">
        <f>'SAP Results'!B41</f>
        <v>0</v>
      </c>
      <c r="C41" s="5" t="str">
        <f>'SAP Results'!C41</f>
        <v>Q-1</v>
      </c>
      <c r="D41" s="5" t="str">
        <f>'SAP Results'!D41</f>
        <v>LinStatic</v>
      </c>
      <c r="E41" s="5">
        <f>'SAP Results'!E41</f>
        <v>5.1529999999999996</v>
      </c>
      <c r="F41" s="5">
        <f>'SAP Results'!F41</f>
        <v>-0.51700000000000002</v>
      </c>
      <c r="G41" s="5">
        <f>'SAP Results'!G41</f>
        <v>0</v>
      </c>
      <c r="H41" s="5">
        <f>'SAP Results'!H41</f>
        <v>0</v>
      </c>
      <c r="I41" s="5">
        <f>'SAP Results'!I41</f>
        <v>0</v>
      </c>
      <c r="J41" s="5">
        <f>'SAP Results'!J41</f>
        <v>2.4344000000000001</v>
      </c>
      <c r="K41" s="6" t="str">
        <f>'SAP Results'!K41</f>
        <v>3-1</v>
      </c>
      <c r="L41" s="5">
        <f>'SAP Results'!L41</f>
        <v>0</v>
      </c>
    </row>
    <row r="42" spans="1:12" ht="15.75" hidden="1" customHeight="1">
      <c r="A42" s="6" t="str">
        <f>'SAP Results'!A42</f>
        <v>3</v>
      </c>
      <c r="B42" s="5">
        <f>'SAP Results'!B42</f>
        <v>2.6</v>
      </c>
      <c r="C42" s="5" t="str">
        <f>'SAP Results'!C42</f>
        <v>Q-1</v>
      </c>
      <c r="D42" s="5" t="str">
        <f>'SAP Results'!D42</f>
        <v>LinStatic</v>
      </c>
      <c r="E42" s="5">
        <f>'SAP Results'!E42</f>
        <v>5.1529999999999996</v>
      </c>
      <c r="F42" s="5">
        <f>'SAP Results'!F42</f>
        <v>-0.51700000000000002</v>
      </c>
      <c r="G42" s="5">
        <f>'SAP Results'!G42</f>
        <v>0</v>
      </c>
      <c r="H42" s="5">
        <f>'SAP Results'!H42</f>
        <v>0</v>
      </c>
      <c r="I42" s="5">
        <f>'SAP Results'!I42</f>
        <v>0</v>
      </c>
      <c r="J42" s="5">
        <f>'SAP Results'!J42</f>
        <v>3.7787000000000002</v>
      </c>
      <c r="K42" s="6" t="str">
        <f>'SAP Results'!K42</f>
        <v>3-1</v>
      </c>
      <c r="L42" s="5">
        <f>'SAP Results'!L42</f>
        <v>2.6</v>
      </c>
    </row>
    <row r="43" spans="1:12" ht="15.75" hidden="1" customHeight="1">
      <c r="A43" s="6" t="str">
        <f>'SAP Results'!A43</f>
        <v>3</v>
      </c>
      <c r="B43" s="5">
        <f>'SAP Results'!B43</f>
        <v>5.2</v>
      </c>
      <c r="C43" s="5" t="str">
        <f>'SAP Results'!C43</f>
        <v>Q-1</v>
      </c>
      <c r="D43" s="5" t="str">
        <f>'SAP Results'!D43</f>
        <v>LinStatic</v>
      </c>
      <c r="E43" s="5">
        <f>'SAP Results'!E43</f>
        <v>5.1529999999999996</v>
      </c>
      <c r="F43" s="5">
        <f>'SAP Results'!F43</f>
        <v>-0.51700000000000002</v>
      </c>
      <c r="G43" s="5">
        <f>'SAP Results'!G43</f>
        <v>0</v>
      </c>
      <c r="H43" s="5">
        <f>'SAP Results'!H43</f>
        <v>0</v>
      </c>
      <c r="I43" s="5">
        <f>'SAP Results'!I43</f>
        <v>0</v>
      </c>
      <c r="J43" s="5">
        <f>'SAP Results'!J43</f>
        <v>5.1230000000000002</v>
      </c>
      <c r="K43" s="6" t="str">
        <f>'SAP Results'!K43</f>
        <v>3-1</v>
      </c>
      <c r="L43" s="5">
        <f>'SAP Results'!L43</f>
        <v>5.2</v>
      </c>
    </row>
    <row r="44" spans="1:12" ht="15.75" customHeight="1">
      <c r="A44" s="6" t="str">
        <f>'SAP Results'!A44</f>
        <v>3</v>
      </c>
      <c r="B44" s="5">
        <f>'SAP Results'!B44</f>
        <v>0</v>
      </c>
      <c r="C44" s="5" t="str">
        <f>'SAP Results'!C44</f>
        <v>Q-2</v>
      </c>
      <c r="D44" s="5" t="str">
        <f>'SAP Results'!D44</f>
        <v>LinStatic</v>
      </c>
      <c r="E44" s="5">
        <f>'SAP Results'!E44</f>
        <v>-77.08</v>
      </c>
      <c r="F44" s="5">
        <f>'SAP Results'!F44</f>
        <v>16.934000000000001</v>
      </c>
      <c r="G44" s="5">
        <f>'SAP Results'!G44</f>
        <v>0</v>
      </c>
      <c r="H44" s="5">
        <f>'SAP Results'!H44</f>
        <v>0</v>
      </c>
      <c r="I44" s="5">
        <f>'SAP Results'!I44</f>
        <v>0</v>
      </c>
      <c r="J44" s="5">
        <f>'SAP Results'!J44</f>
        <v>25.051600000000001</v>
      </c>
      <c r="K44" s="6" t="str">
        <f>'SAP Results'!K44</f>
        <v>3-1</v>
      </c>
      <c r="L44" s="5">
        <f>'SAP Results'!L44</f>
        <v>0</v>
      </c>
    </row>
    <row r="45" spans="1:12" ht="15.75" customHeight="1">
      <c r="A45" s="6" t="str">
        <f>'SAP Results'!A45</f>
        <v>3</v>
      </c>
      <c r="B45" s="5">
        <f>'SAP Results'!B45</f>
        <v>2.6</v>
      </c>
      <c r="C45" s="5" t="str">
        <f>'SAP Results'!C45</f>
        <v>Q-2</v>
      </c>
      <c r="D45" s="5" t="str">
        <f>'SAP Results'!D45</f>
        <v>LinStatic</v>
      </c>
      <c r="E45" s="5">
        <f>'SAP Results'!E45</f>
        <v>-77.08</v>
      </c>
      <c r="F45" s="5">
        <f>'SAP Results'!F45</f>
        <v>16.934000000000001</v>
      </c>
      <c r="G45" s="5">
        <f>'SAP Results'!G45</f>
        <v>0</v>
      </c>
      <c r="H45" s="5">
        <f>'SAP Results'!H45</f>
        <v>0</v>
      </c>
      <c r="I45" s="5">
        <f>'SAP Results'!I45</f>
        <v>0</v>
      </c>
      <c r="J45" s="5">
        <f>'SAP Results'!J45</f>
        <v>-18.976500000000001</v>
      </c>
      <c r="K45" s="6" t="str">
        <f>'SAP Results'!K45</f>
        <v>3-1</v>
      </c>
      <c r="L45" s="5">
        <f>'SAP Results'!L45</f>
        <v>2.6</v>
      </c>
    </row>
    <row r="46" spans="1:12" ht="15.75" customHeight="1">
      <c r="A46" s="6" t="str">
        <f>'SAP Results'!A46</f>
        <v>3</v>
      </c>
      <c r="B46" s="5">
        <f>'SAP Results'!B46</f>
        <v>5.2</v>
      </c>
      <c r="C46" s="5" t="str">
        <f>'SAP Results'!C46</f>
        <v>Q-2</v>
      </c>
      <c r="D46" s="5" t="str">
        <f>'SAP Results'!D46</f>
        <v>LinStatic</v>
      </c>
      <c r="E46" s="5">
        <f>'SAP Results'!E46</f>
        <v>-77.08</v>
      </c>
      <c r="F46" s="5">
        <f>'SAP Results'!F46</f>
        <v>16.934000000000001</v>
      </c>
      <c r="G46" s="5">
        <f>'SAP Results'!G46</f>
        <v>0</v>
      </c>
      <c r="H46" s="5">
        <f>'SAP Results'!H46</f>
        <v>0</v>
      </c>
      <c r="I46" s="5">
        <f>'SAP Results'!I46</f>
        <v>0</v>
      </c>
      <c r="J46" s="5">
        <f>'SAP Results'!J46</f>
        <v>-63.004600000000003</v>
      </c>
      <c r="K46" s="6" t="str">
        <f>'SAP Results'!K46</f>
        <v>3-1</v>
      </c>
      <c r="L46" s="5">
        <f>'SAP Results'!L46</f>
        <v>5.2</v>
      </c>
    </row>
    <row r="47" spans="1:12" ht="15.75" hidden="1" customHeight="1">
      <c r="A47" s="6" t="str">
        <f>'SAP Results'!A47</f>
        <v>4</v>
      </c>
      <c r="B47" s="5">
        <f>'SAP Results'!B47</f>
        <v>0</v>
      </c>
      <c r="C47" s="5" t="str">
        <f>'SAP Results'!C47</f>
        <v>EX</v>
      </c>
      <c r="D47" s="5" t="str">
        <f>'SAP Results'!D47</f>
        <v>LinStatic</v>
      </c>
      <c r="E47" s="5">
        <f>'SAP Results'!E47</f>
        <v>0</v>
      </c>
      <c r="F47" s="5">
        <f>'SAP Results'!F47</f>
        <v>18.693999999999999</v>
      </c>
      <c r="G47" s="5">
        <f>'SAP Results'!G47</f>
        <v>0</v>
      </c>
      <c r="H47" s="5">
        <f>'SAP Results'!H47</f>
        <v>0</v>
      </c>
      <c r="I47" s="5">
        <f>'SAP Results'!I47</f>
        <v>0</v>
      </c>
      <c r="J47" s="5">
        <f>'SAP Results'!J47</f>
        <v>85.904799999999994</v>
      </c>
      <c r="K47" s="6" t="str">
        <f>'SAP Results'!K47</f>
        <v>4-1</v>
      </c>
      <c r="L47" s="5">
        <f>'SAP Results'!L47</f>
        <v>0</v>
      </c>
    </row>
    <row r="48" spans="1:12" ht="15.75" hidden="1" customHeight="1">
      <c r="A48" s="6" t="str">
        <f>'SAP Results'!A48</f>
        <v>4</v>
      </c>
      <c r="B48" s="5">
        <f>'SAP Results'!B48</f>
        <v>1.0062500000000001</v>
      </c>
      <c r="C48" s="5" t="str">
        <f>'SAP Results'!C48</f>
        <v>EX</v>
      </c>
      <c r="D48" s="5" t="str">
        <f>'SAP Results'!D48</f>
        <v>LinStatic</v>
      </c>
      <c r="E48" s="5">
        <f>'SAP Results'!E48</f>
        <v>0</v>
      </c>
      <c r="F48" s="5">
        <f>'SAP Results'!F48</f>
        <v>18.693999999999999</v>
      </c>
      <c r="G48" s="5">
        <f>'SAP Results'!G48</f>
        <v>0</v>
      </c>
      <c r="H48" s="5">
        <f>'SAP Results'!H48</f>
        <v>0</v>
      </c>
      <c r="I48" s="5">
        <f>'SAP Results'!I48</f>
        <v>0</v>
      </c>
      <c r="J48" s="5">
        <f>'SAP Results'!J48</f>
        <v>67.094200000000001</v>
      </c>
      <c r="K48" s="6" t="str">
        <f>'SAP Results'!K48</f>
        <v>4-1</v>
      </c>
      <c r="L48" s="5">
        <f>'SAP Results'!L48</f>
        <v>1.0062500000000001</v>
      </c>
    </row>
    <row r="49" spans="1:12" ht="15.75" hidden="1" customHeight="1">
      <c r="A49" s="6" t="str">
        <f>'SAP Results'!A49</f>
        <v>4</v>
      </c>
      <c r="B49" s="5">
        <f>'SAP Results'!B49</f>
        <v>2.0125000000000002</v>
      </c>
      <c r="C49" s="5" t="str">
        <f>'SAP Results'!C49</f>
        <v>EX</v>
      </c>
      <c r="D49" s="5" t="str">
        <f>'SAP Results'!D49</f>
        <v>LinStatic</v>
      </c>
      <c r="E49" s="5">
        <f>'SAP Results'!E49</f>
        <v>0</v>
      </c>
      <c r="F49" s="5">
        <f>'SAP Results'!F49</f>
        <v>18.693999999999999</v>
      </c>
      <c r="G49" s="5">
        <f>'SAP Results'!G49</f>
        <v>0</v>
      </c>
      <c r="H49" s="5">
        <f>'SAP Results'!H49</f>
        <v>0</v>
      </c>
      <c r="I49" s="5">
        <f>'SAP Results'!I49</f>
        <v>0</v>
      </c>
      <c r="J49" s="5">
        <f>'SAP Results'!J49</f>
        <v>48.283700000000003</v>
      </c>
      <c r="K49" s="6" t="str">
        <f>'SAP Results'!K49</f>
        <v>4-1</v>
      </c>
      <c r="L49" s="5">
        <f>'SAP Results'!L49</f>
        <v>2.0125000000000002</v>
      </c>
    </row>
    <row r="50" spans="1:12" ht="15.75" hidden="1" customHeight="1">
      <c r="A50" s="6" t="str">
        <f>'SAP Results'!A50</f>
        <v>4</v>
      </c>
      <c r="B50" s="5">
        <f>'SAP Results'!B50</f>
        <v>3.0187499999999998</v>
      </c>
      <c r="C50" s="5" t="str">
        <f>'SAP Results'!C50</f>
        <v>EX</v>
      </c>
      <c r="D50" s="5" t="str">
        <f>'SAP Results'!D50</f>
        <v>LinStatic</v>
      </c>
      <c r="E50" s="5">
        <f>'SAP Results'!E50</f>
        <v>0</v>
      </c>
      <c r="F50" s="5">
        <f>'SAP Results'!F50</f>
        <v>18.693999999999999</v>
      </c>
      <c r="G50" s="5">
        <f>'SAP Results'!G50</f>
        <v>0</v>
      </c>
      <c r="H50" s="5">
        <f>'SAP Results'!H50</f>
        <v>0</v>
      </c>
      <c r="I50" s="5">
        <f>'SAP Results'!I50</f>
        <v>0</v>
      </c>
      <c r="J50" s="5">
        <f>'SAP Results'!J50</f>
        <v>29.473199999999999</v>
      </c>
      <c r="K50" s="6" t="str">
        <f>'SAP Results'!K50</f>
        <v>4-1</v>
      </c>
      <c r="L50" s="5">
        <f>'SAP Results'!L50</f>
        <v>3.0187499999999998</v>
      </c>
    </row>
    <row r="51" spans="1:12" ht="15.75" hidden="1" customHeight="1">
      <c r="A51" s="6" t="str">
        <f>'SAP Results'!A51</f>
        <v>4</v>
      </c>
      <c r="B51" s="5">
        <f>'SAP Results'!B51</f>
        <v>4.0250000000000004</v>
      </c>
      <c r="C51" s="5" t="str">
        <f>'SAP Results'!C51</f>
        <v>EX</v>
      </c>
      <c r="D51" s="5" t="str">
        <f>'SAP Results'!D51</f>
        <v>LinStatic</v>
      </c>
      <c r="E51" s="5">
        <f>'SAP Results'!E51</f>
        <v>0</v>
      </c>
      <c r="F51" s="5">
        <f>'SAP Results'!F51</f>
        <v>18.693999999999999</v>
      </c>
      <c r="G51" s="5">
        <f>'SAP Results'!G51</f>
        <v>0</v>
      </c>
      <c r="H51" s="5">
        <f>'SAP Results'!H51</f>
        <v>0</v>
      </c>
      <c r="I51" s="5">
        <f>'SAP Results'!I51</f>
        <v>0</v>
      </c>
      <c r="J51" s="5">
        <f>'SAP Results'!J51</f>
        <v>10.662599999999999</v>
      </c>
      <c r="K51" s="6" t="str">
        <f>'SAP Results'!K51</f>
        <v>4-1</v>
      </c>
      <c r="L51" s="5">
        <f>'SAP Results'!L51</f>
        <v>4.0250000000000004</v>
      </c>
    </row>
    <row r="52" spans="1:12" ht="15.75" hidden="1" customHeight="1">
      <c r="A52" s="6" t="str">
        <f>'SAP Results'!A52</f>
        <v>4</v>
      </c>
      <c r="B52" s="5">
        <f>'SAP Results'!B52</f>
        <v>5.03125</v>
      </c>
      <c r="C52" s="5" t="str">
        <f>'SAP Results'!C52</f>
        <v>EX</v>
      </c>
      <c r="D52" s="5" t="str">
        <f>'SAP Results'!D52</f>
        <v>LinStatic</v>
      </c>
      <c r="E52" s="5">
        <f>'SAP Results'!E52</f>
        <v>0</v>
      </c>
      <c r="F52" s="5">
        <f>'SAP Results'!F52</f>
        <v>18.693999999999999</v>
      </c>
      <c r="G52" s="5">
        <f>'SAP Results'!G52</f>
        <v>0</v>
      </c>
      <c r="H52" s="5">
        <f>'SAP Results'!H52</f>
        <v>0</v>
      </c>
      <c r="I52" s="5">
        <f>'SAP Results'!I52</f>
        <v>0</v>
      </c>
      <c r="J52" s="5">
        <f>'SAP Results'!J52</f>
        <v>-8.1478999999999999</v>
      </c>
      <c r="K52" s="6" t="str">
        <f>'SAP Results'!K52</f>
        <v>4-1</v>
      </c>
      <c r="L52" s="5">
        <f>'SAP Results'!L52</f>
        <v>5.03125</v>
      </c>
    </row>
    <row r="53" spans="1:12" ht="15.75" hidden="1" customHeight="1">
      <c r="A53" s="6" t="str">
        <f>'SAP Results'!A53</f>
        <v>4</v>
      </c>
      <c r="B53" s="5">
        <f>'SAP Results'!B53</f>
        <v>6.0374999999999996</v>
      </c>
      <c r="C53" s="5" t="str">
        <f>'SAP Results'!C53</f>
        <v>EX</v>
      </c>
      <c r="D53" s="5" t="str">
        <f>'SAP Results'!D53</f>
        <v>LinStatic</v>
      </c>
      <c r="E53" s="5">
        <f>'SAP Results'!E53</f>
        <v>0</v>
      </c>
      <c r="F53" s="5">
        <f>'SAP Results'!F53</f>
        <v>18.693999999999999</v>
      </c>
      <c r="G53" s="5">
        <f>'SAP Results'!G53</f>
        <v>0</v>
      </c>
      <c r="H53" s="5">
        <f>'SAP Results'!H53</f>
        <v>0</v>
      </c>
      <c r="I53" s="5">
        <f>'SAP Results'!I53</f>
        <v>0</v>
      </c>
      <c r="J53" s="5">
        <f>'SAP Results'!J53</f>
        <v>-26.958400000000001</v>
      </c>
      <c r="K53" s="6" t="str">
        <f>'SAP Results'!K53</f>
        <v>4-1</v>
      </c>
      <c r="L53" s="5">
        <f>'SAP Results'!L53</f>
        <v>6.0374999999999996</v>
      </c>
    </row>
    <row r="54" spans="1:12" ht="15.75" hidden="1" customHeight="1">
      <c r="A54" s="6" t="str">
        <f>'SAP Results'!A54</f>
        <v>4</v>
      </c>
      <c r="B54" s="5">
        <f>'SAP Results'!B54</f>
        <v>7.0437500000000002</v>
      </c>
      <c r="C54" s="5" t="str">
        <f>'SAP Results'!C54</f>
        <v>EX</v>
      </c>
      <c r="D54" s="5" t="str">
        <f>'SAP Results'!D54</f>
        <v>LinStatic</v>
      </c>
      <c r="E54" s="5">
        <f>'SAP Results'!E54</f>
        <v>0</v>
      </c>
      <c r="F54" s="5">
        <f>'SAP Results'!F54</f>
        <v>18.693999999999999</v>
      </c>
      <c r="G54" s="5">
        <f>'SAP Results'!G54</f>
        <v>0</v>
      </c>
      <c r="H54" s="5">
        <f>'SAP Results'!H54</f>
        <v>0</v>
      </c>
      <c r="I54" s="5">
        <f>'SAP Results'!I54</f>
        <v>0</v>
      </c>
      <c r="J54" s="5">
        <f>'SAP Results'!J54</f>
        <v>-45.768900000000002</v>
      </c>
      <c r="K54" s="6" t="str">
        <f>'SAP Results'!K54</f>
        <v>4-1</v>
      </c>
      <c r="L54" s="5">
        <f>'SAP Results'!L54</f>
        <v>7.0437500000000002</v>
      </c>
    </row>
    <row r="55" spans="1:12" ht="15.75" hidden="1" customHeight="1">
      <c r="A55" s="6" t="str">
        <f>'SAP Results'!A55</f>
        <v>4</v>
      </c>
      <c r="B55" s="5">
        <f>'SAP Results'!B55</f>
        <v>8.0500000000000007</v>
      </c>
      <c r="C55" s="5" t="str">
        <f>'SAP Results'!C55</f>
        <v>EX</v>
      </c>
      <c r="D55" s="5" t="str">
        <f>'SAP Results'!D55</f>
        <v>LinStatic</v>
      </c>
      <c r="E55" s="5">
        <f>'SAP Results'!E55</f>
        <v>0</v>
      </c>
      <c r="F55" s="5">
        <f>'SAP Results'!F55</f>
        <v>18.693999999999999</v>
      </c>
      <c r="G55" s="5">
        <f>'SAP Results'!G55</f>
        <v>0</v>
      </c>
      <c r="H55" s="5">
        <f>'SAP Results'!H55</f>
        <v>0</v>
      </c>
      <c r="I55" s="5">
        <f>'SAP Results'!I55</f>
        <v>0</v>
      </c>
      <c r="J55" s="5">
        <f>'SAP Results'!J55</f>
        <v>-64.579499999999996</v>
      </c>
      <c r="K55" s="6" t="str">
        <f>'SAP Results'!K55</f>
        <v>4-1</v>
      </c>
      <c r="L55" s="5">
        <f>'SAP Results'!L55</f>
        <v>8.0500000000000007</v>
      </c>
    </row>
    <row r="56" spans="1:12" ht="15.75" hidden="1" customHeight="1">
      <c r="A56" s="6" t="str">
        <f>'SAP Results'!A56</f>
        <v>4</v>
      </c>
      <c r="B56" s="5">
        <f>'SAP Results'!B56</f>
        <v>0</v>
      </c>
      <c r="C56" s="5" t="str">
        <f>'SAP Results'!C56</f>
        <v>G-1</v>
      </c>
      <c r="D56" s="5" t="str">
        <f>'SAP Results'!D56</f>
        <v>LinStatic</v>
      </c>
      <c r="E56" s="5">
        <f>'SAP Results'!E56</f>
        <v>0</v>
      </c>
      <c r="F56" s="5">
        <f>'SAP Results'!F56</f>
        <v>-152.78200000000001</v>
      </c>
      <c r="G56" s="5">
        <f>'SAP Results'!G56</f>
        <v>0</v>
      </c>
      <c r="H56" s="5">
        <f>'SAP Results'!H56</f>
        <v>0</v>
      </c>
      <c r="I56" s="5">
        <f>'SAP Results'!I56</f>
        <v>0</v>
      </c>
      <c r="J56" s="5">
        <f>'SAP Results'!J56</f>
        <v>-124.8822</v>
      </c>
      <c r="K56" s="6" t="str">
        <f>'SAP Results'!K56</f>
        <v>4-1</v>
      </c>
      <c r="L56" s="5">
        <f>'SAP Results'!L56</f>
        <v>0</v>
      </c>
    </row>
    <row r="57" spans="1:12" ht="15.75" hidden="1" customHeight="1">
      <c r="A57" s="6" t="str">
        <f>'SAP Results'!A57</f>
        <v>4</v>
      </c>
      <c r="B57" s="5">
        <f>'SAP Results'!B57</f>
        <v>1.0062500000000001</v>
      </c>
      <c r="C57" s="5" t="str">
        <f>'SAP Results'!C57</f>
        <v>G-1</v>
      </c>
      <c r="D57" s="5" t="str">
        <f>'SAP Results'!D57</f>
        <v>LinStatic</v>
      </c>
      <c r="E57" s="5">
        <f>'SAP Results'!E57</f>
        <v>0</v>
      </c>
      <c r="F57" s="5">
        <f>'SAP Results'!F57</f>
        <v>-112.642</v>
      </c>
      <c r="G57" s="5">
        <f>'SAP Results'!G57</f>
        <v>0</v>
      </c>
      <c r="H57" s="5">
        <f>'SAP Results'!H57</f>
        <v>0</v>
      </c>
      <c r="I57" s="5">
        <f>'SAP Results'!I57</f>
        <v>0</v>
      </c>
      <c r="J57" s="5">
        <f>'SAP Results'!J57</f>
        <v>8.6593</v>
      </c>
      <c r="K57" s="6" t="str">
        <f>'SAP Results'!K57</f>
        <v>4-1</v>
      </c>
      <c r="L57" s="5">
        <f>'SAP Results'!L57</f>
        <v>1.0062500000000001</v>
      </c>
    </row>
    <row r="58" spans="1:12" ht="15.75" hidden="1" customHeight="1">
      <c r="A58" s="6" t="str">
        <f>'SAP Results'!A58</f>
        <v>4</v>
      </c>
      <c r="B58" s="5">
        <f>'SAP Results'!B58</f>
        <v>2.0125000000000002</v>
      </c>
      <c r="C58" s="5" t="str">
        <f>'SAP Results'!C58</f>
        <v>G-1</v>
      </c>
      <c r="D58" s="5" t="str">
        <f>'SAP Results'!D58</f>
        <v>LinStatic</v>
      </c>
      <c r="E58" s="5">
        <f>'SAP Results'!E58</f>
        <v>0</v>
      </c>
      <c r="F58" s="5">
        <f>'SAP Results'!F58</f>
        <v>-72.503</v>
      </c>
      <c r="G58" s="5">
        <f>'SAP Results'!G58</f>
        <v>0</v>
      </c>
      <c r="H58" s="5">
        <f>'SAP Results'!H58</f>
        <v>0</v>
      </c>
      <c r="I58" s="5">
        <f>'SAP Results'!I58</f>
        <v>0</v>
      </c>
      <c r="J58" s="5">
        <f>'SAP Results'!J58</f>
        <v>101.81059999999999</v>
      </c>
      <c r="K58" s="6" t="str">
        <f>'SAP Results'!K58</f>
        <v>4-1</v>
      </c>
      <c r="L58" s="5">
        <f>'SAP Results'!L58</f>
        <v>2.0125000000000002</v>
      </c>
    </row>
    <row r="59" spans="1:12" ht="15.75" hidden="1" customHeight="1">
      <c r="A59" s="6" t="str">
        <f>'SAP Results'!A59</f>
        <v>4</v>
      </c>
      <c r="B59" s="5">
        <f>'SAP Results'!B59</f>
        <v>3.0187499999999998</v>
      </c>
      <c r="C59" s="5" t="str">
        <f>'SAP Results'!C59</f>
        <v>G-1</v>
      </c>
      <c r="D59" s="5" t="str">
        <f>'SAP Results'!D59</f>
        <v>LinStatic</v>
      </c>
      <c r="E59" s="5">
        <f>'SAP Results'!E59</f>
        <v>0</v>
      </c>
      <c r="F59" s="5">
        <f>'SAP Results'!F59</f>
        <v>-32.363999999999997</v>
      </c>
      <c r="G59" s="5">
        <f>'SAP Results'!G59</f>
        <v>0</v>
      </c>
      <c r="H59" s="5">
        <f>'SAP Results'!H59</f>
        <v>0</v>
      </c>
      <c r="I59" s="5">
        <f>'SAP Results'!I59</f>
        <v>0</v>
      </c>
      <c r="J59" s="5">
        <f>'SAP Results'!J59</f>
        <v>154.5718</v>
      </c>
      <c r="K59" s="6" t="str">
        <f>'SAP Results'!K59</f>
        <v>4-1</v>
      </c>
      <c r="L59" s="5">
        <f>'SAP Results'!L59</f>
        <v>3.0187499999999998</v>
      </c>
    </row>
    <row r="60" spans="1:12" ht="15.75" hidden="1" customHeight="1">
      <c r="A60" s="6" t="str">
        <f>'SAP Results'!A60</f>
        <v>4</v>
      </c>
      <c r="B60" s="5">
        <f>'SAP Results'!B60</f>
        <v>4.0250000000000004</v>
      </c>
      <c r="C60" s="5" t="str">
        <f>'SAP Results'!C60</f>
        <v>G-1</v>
      </c>
      <c r="D60" s="5" t="str">
        <f>'SAP Results'!D60</f>
        <v>LinStatic</v>
      </c>
      <c r="E60" s="5">
        <f>'SAP Results'!E60</f>
        <v>0</v>
      </c>
      <c r="F60" s="5">
        <f>'SAP Results'!F60</f>
        <v>7.7759999999999998</v>
      </c>
      <c r="G60" s="5">
        <f>'SAP Results'!G60</f>
        <v>0</v>
      </c>
      <c r="H60" s="5">
        <f>'SAP Results'!H60</f>
        <v>0</v>
      </c>
      <c r="I60" s="5">
        <f>'SAP Results'!I60</f>
        <v>0</v>
      </c>
      <c r="J60" s="5">
        <f>'SAP Results'!J60</f>
        <v>166.9427</v>
      </c>
      <c r="K60" s="6" t="str">
        <f>'SAP Results'!K60</f>
        <v>4-1</v>
      </c>
      <c r="L60" s="5">
        <f>'SAP Results'!L60</f>
        <v>4.0250000000000004</v>
      </c>
    </row>
    <row r="61" spans="1:12" ht="15.75" hidden="1" customHeight="1">
      <c r="A61" s="6" t="str">
        <f>'SAP Results'!A61</f>
        <v>4</v>
      </c>
      <c r="B61" s="5">
        <f>'SAP Results'!B61</f>
        <v>5.03125</v>
      </c>
      <c r="C61" s="5" t="str">
        <f>'SAP Results'!C61</f>
        <v>G-1</v>
      </c>
      <c r="D61" s="5" t="str">
        <f>'SAP Results'!D61</f>
        <v>LinStatic</v>
      </c>
      <c r="E61" s="5">
        <f>'SAP Results'!E61</f>
        <v>0</v>
      </c>
      <c r="F61" s="5">
        <f>'SAP Results'!F61</f>
        <v>47.914999999999999</v>
      </c>
      <c r="G61" s="5">
        <f>'SAP Results'!G61</f>
        <v>0</v>
      </c>
      <c r="H61" s="5">
        <f>'SAP Results'!H61</f>
        <v>0</v>
      </c>
      <c r="I61" s="5">
        <f>'SAP Results'!I61</f>
        <v>0</v>
      </c>
      <c r="J61" s="5">
        <f>'SAP Results'!J61</f>
        <v>138.92349999999999</v>
      </c>
      <c r="K61" s="6" t="str">
        <f>'SAP Results'!K61</f>
        <v>4-1</v>
      </c>
      <c r="L61" s="5">
        <f>'SAP Results'!L61</f>
        <v>5.03125</v>
      </c>
    </row>
    <row r="62" spans="1:12" ht="15.75" hidden="1" customHeight="1">
      <c r="A62" s="6" t="str">
        <f>'SAP Results'!A62</f>
        <v>4</v>
      </c>
      <c r="B62" s="5">
        <f>'SAP Results'!B62</f>
        <v>6.0374999999999996</v>
      </c>
      <c r="C62" s="5" t="str">
        <f>'SAP Results'!C62</f>
        <v>G-1</v>
      </c>
      <c r="D62" s="5" t="str">
        <f>'SAP Results'!D62</f>
        <v>LinStatic</v>
      </c>
      <c r="E62" s="5">
        <f>'SAP Results'!E62</f>
        <v>0</v>
      </c>
      <c r="F62" s="5">
        <f>'SAP Results'!F62</f>
        <v>88.054000000000002</v>
      </c>
      <c r="G62" s="5">
        <f>'SAP Results'!G62</f>
        <v>0</v>
      </c>
      <c r="H62" s="5">
        <f>'SAP Results'!H62</f>
        <v>0</v>
      </c>
      <c r="I62" s="5">
        <f>'SAP Results'!I62</f>
        <v>0</v>
      </c>
      <c r="J62" s="5">
        <f>'SAP Results'!J62</f>
        <v>70.514099999999999</v>
      </c>
      <c r="K62" s="6" t="str">
        <f>'SAP Results'!K62</f>
        <v>4-1</v>
      </c>
      <c r="L62" s="5">
        <f>'SAP Results'!L62</f>
        <v>6.0374999999999996</v>
      </c>
    </row>
    <row r="63" spans="1:12" ht="15.75" hidden="1" customHeight="1">
      <c r="A63" s="6" t="str">
        <f>'SAP Results'!A63</f>
        <v>4</v>
      </c>
      <c r="B63" s="5">
        <f>'SAP Results'!B63</f>
        <v>7.0437500000000002</v>
      </c>
      <c r="C63" s="5" t="str">
        <f>'SAP Results'!C63</f>
        <v>G-1</v>
      </c>
      <c r="D63" s="5" t="str">
        <f>'SAP Results'!D63</f>
        <v>LinStatic</v>
      </c>
      <c r="E63" s="5">
        <f>'SAP Results'!E63</f>
        <v>0</v>
      </c>
      <c r="F63" s="5">
        <f>'SAP Results'!F63</f>
        <v>128.19300000000001</v>
      </c>
      <c r="G63" s="5">
        <f>'SAP Results'!G63</f>
        <v>0</v>
      </c>
      <c r="H63" s="5">
        <f>'SAP Results'!H63</f>
        <v>0</v>
      </c>
      <c r="I63" s="5">
        <f>'SAP Results'!I63</f>
        <v>0</v>
      </c>
      <c r="J63" s="5">
        <f>'SAP Results'!J63</f>
        <v>-38.285499999999999</v>
      </c>
      <c r="K63" s="6" t="str">
        <f>'SAP Results'!K63</f>
        <v>4-1</v>
      </c>
      <c r="L63" s="5">
        <f>'SAP Results'!L63</f>
        <v>7.0437500000000002</v>
      </c>
    </row>
    <row r="64" spans="1:12" ht="15.75" hidden="1" customHeight="1">
      <c r="A64" s="6" t="str">
        <f>'SAP Results'!A64</f>
        <v>4</v>
      </c>
      <c r="B64" s="5">
        <f>'SAP Results'!B64</f>
        <v>8.0500000000000007</v>
      </c>
      <c r="C64" s="5" t="str">
        <f>'SAP Results'!C64</f>
        <v>G-1</v>
      </c>
      <c r="D64" s="5" t="str">
        <f>'SAP Results'!D64</f>
        <v>LinStatic</v>
      </c>
      <c r="E64" s="5">
        <f>'SAP Results'!E64</f>
        <v>0</v>
      </c>
      <c r="F64" s="5">
        <f>'SAP Results'!F64</f>
        <v>168.333</v>
      </c>
      <c r="G64" s="5">
        <f>'SAP Results'!G64</f>
        <v>0</v>
      </c>
      <c r="H64" s="5">
        <f>'SAP Results'!H64</f>
        <v>0</v>
      </c>
      <c r="I64" s="5">
        <f>'SAP Results'!I64</f>
        <v>0</v>
      </c>
      <c r="J64" s="5">
        <f>'SAP Results'!J64</f>
        <v>-187.4752</v>
      </c>
      <c r="K64" s="6" t="str">
        <f>'SAP Results'!K64</f>
        <v>4-1</v>
      </c>
      <c r="L64" s="5">
        <f>'SAP Results'!L64</f>
        <v>8.0500000000000007</v>
      </c>
    </row>
    <row r="65" spans="1:12" ht="15.75" hidden="1" customHeight="1">
      <c r="A65" s="6" t="str">
        <f>'SAP Results'!A65</f>
        <v>4</v>
      </c>
      <c r="B65" s="5">
        <f>'SAP Results'!B65</f>
        <v>0</v>
      </c>
      <c r="C65" s="5" t="str">
        <f>'SAP Results'!C65</f>
        <v>G-2</v>
      </c>
      <c r="D65" s="5" t="str">
        <f>'SAP Results'!D65</f>
        <v>LinStatic</v>
      </c>
      <c r="E65" s="5">
        <f>'SAP Results'!E65</f>
        <v>0</v>
      </c>
      <c r="F65" s="5">
        <f>'SAP Results'!F65</f>
        <v>10.212999999999999</v>
      </c>
      <c r="G65" s="5">
        <f>'SAP Results'!G65</f>
        <v>0</v>
      </c>
      <c r="H65" s="5">
        <f>'SAP Results'!H65</f>
        <v>0</v>
      </c>
      <c r="I65" s="5">
        <f>'SAP Results'!I65</f>
        <v>0</v>
      </c>
      <c r="J65" s="5">
        <f>'SAP Results'!J65</f>
        <v>10.154299999999999</v>
      </c>
      <c r="K65" s="6" t="str">
        <f>'SAP Results'!K65</f>
        <v>4-1</v>
      </c>
      <c r="L65" s="5">
        <f>'SAP Results'!L65</f>
        <v>0</v>
      </c>
    </row>
    <row r="66" spans="1:12" ht="15.75" hidden="1" customHeight="1">
      <c r="A66" s="6" t="str">
        <f>'SAP Results'!A66</f>
        <v>4</v>
      </c>
      <c r="B66" s="5">
        <f>'SAP Results'!B66</f>
        <v>1.0062500000000001</v>
      </c>
      <c r="C66" s="5" t="str">
        <f>'SAP Results'!C66</f>
        <v>G-2</v>
      </c>
      <c r="D66" s="5" t="str">
        <f>'SAP Results'!D66</f>
        <v>LinStatic</v>
      </c>
      <c r="E66" s="5">
        <f>'SAP Results'!E66</f>
        <v>0</v>
      </c>
      <c r="F66" s="5">
        <f>'SAP Results'!F66</f>
        <v>10.212999999999999</v>
      </c>
      <c r="G66" s="5">
        <f>'SAP Results'!G66</f>
        <v>0</v>
      </c>
      <c r="H66" s="5">
        <f>'SAP Results'!H66</f>
        <v>0</v>
      </c>
      <c r="I66" s="5">
        <f>'SAP Results'!I66</f>
        <v>0</v>
      </c>
      <c r="J66" s="5">
        <f>'SAP Results'!J66</f>
        <v>-0.1227</v>
      </c>
      <c r="K66" s="6" t="str">
        <f>'SAP Results'!K66</f>
        <v>4-1</v>
      </c>
      <c r="L66" s="5">
        <f>'SAP Results'!L66</f>
        <v>1.0062500000000001</v>
      </c>
    </row>
    <row r="67" spans="1:12" ht="15.75" hidden="1" customHeight="1">
      <c r="A67" s="6" t="str">
        <f>'SAP Results'!A67</f>
        <v>4</v>
      </c>
      <c r="B67" s="5">
        <f>'SAP Results'!B67</f>
        <v>2.0125000000000002</v>
      </c>
      <c r="C67" s="5" t="str">
        <f>'SAP Results'!C67</f>
        <v>G-2</v>
      </c>
      <c r="D67" s="5" t="str">
        <f>'SAP Results'!D67</f>
        <v>LinStatic</v>
      </c>
      <c r="E67" s="5">
        <f>'SAP Results'!E67</f>
        <v>0</v>
      </c>
      <c r="F67" s="5">
        <f>'SAP Results'!F67</f>
        <v>10.212999999999999</v>
      </c>
      <c r="G67" s="5">
        <f>'SAP Results'!G67</f>
        <v>0</v>
      </c>
      <c r="H67" s="5">
        <f>'SAP Results'!H67</f>
        <v>0</v>
      </c>
      <c r="I67" s="5">
        <f>'SAP Results'!I67</f>
        <v>0</v>
      </c>
      <c r="J67" s="5">
        <f>'SAP Results'!J67</f>
        <v>-10.399800000000001</v>
      </c>
      <c r="K67" s="6" t="str">
        <f>'SAP Results'!K67</f>
        <v>4-1</v>
      </c>
      <c r="L67" s="5">
        <f>'SAP Results'!L67</f>
        <v>2.0125000000000002</v>
      </c>
    </row>
    <row r="68" spans="1:12" ht="15.75" hidden="1" customHeight="1">
      <c r="A68" s="6" t="str">
        <f>'SAP Results'!A68</f>
        <v>4</v>
      </c>
      <c r="B68" s="5">
        <f>'SAP Results'!B68</f>
        <v>3.0187499999999998</v>
      </c>
      <c r="C68" s="5" t="str">
        <f>'SAP Results'!C68</f>
        <v>G-2</v>
      </c>
      <c r="D68" s="5" t="str">
        <f>'SAP Results'!D68</f>
        <v>LinStatic</v>
      </c>
      <c r="E68" s="5">
        <f>'SAP Results'!E68</f>
        <v>0</v>
      </c>
      <c r="F68" s="5">
        <f>'SAP Results'!F68</f>
        <v>10.212999999999999</v>
      </c>
      <c r="G68" s="5">
        <f>'SAP Results'!G68</f>
        <v>0</v>
      </c>
      <c r="H68" s="5">
        <f>'SAP Results'!H68</f>
        <v>0</v>
      </c>
      <c r="I68" s="5">
        <f>'SAP Results'!I68</f>
        <v>0</v>
      </c>
      <c r="J68" s="5">
        <f>'SAP Results'!J68</f>
        <v>-20.6768</v>
      </c>
      <c r="K68" s="6" t="str">
        <f>'SAP Results'!K68</f>
        <v>4-1</v>
      </c>
      <c r="L68" s="5">
        <f>'SAP Results'!L68</f>
        <v>3.0187499999999998</v>
      </c>
    </row>
    <row r="69" spans="1:12" ht="15.75" hidden="1" customHeight="1">
      <c r="A69" s="6" t="str">
        <f>'SAP Results'!A69</f>
        <v>4</v>
      </c>
      <c r="B69" s="5">
        <f>'SAP Results'!B69</f>
        <v>4.0250000000000004</v>
      </c>
      <c r="C69" s="5" t="str">
        <f>'SAP Results'!C69</f>
        <v>G-2</v>
      </c>
      <c r="D69" s="5" t="str">
        <f>'SAP Results'!D69</f>
        <v>LinStatic</v>
      </c>
      <c r="E69" s="5">
        <f>'SAP Results'!E69</f>
        <v>0</v>
      </c>
      <c r="F69" s="5">
        <f>'SAP Results'!F69</f>
        <v>10.212999999999999</v>
      </c>
      <c r="G69" s="5">
        <f>'SAP Results'!G69</f>
        <v>0</v>
      </c>
      <c r="H69" s="5">
        <f>'SAP Results'!H69</f>
        <v>0</v>
      </c>
      <c r="I69" s="5">
        <f>'SAP Results'!I69</f>
        <v>0</v>
      </c>
      <c r="J69" s="5">
        <f>'SAP Results'!J69</f>
        <v>-30.953800000000001</v>
      </c>
      <c r="K69" s="6" t="str">
        <f>'SAP Results'!K69</f>
        <v>4-1</v>
      </c>
      <c r="L69" s="5">
        <f>'SAP Results'!L69</f>
        <v>4.0250000000000004</v>
      </c>
    </row>
    <row r="70" spans="1:12" ht="15.75" hidden="1" customHeight="1">
      <c r="A70" s="6" t="str">
        <f>'SAP Results'!A70</f>
        <v>4</v>
      </c>
      <c r="B70" s="5">
        <f>'SAP Results'!B70</f>
        <v>5.03125</v>
      </c>
      <c r="C70" s="5" t="str">
        <f>'SAP Results'!C70</f>
        <v>G-2</v>
      </c>
      <c r="D70" s="5" t="str">
        <f>'SAP Results'!D70</f>
        <v>LinStatic</v>
      </c>
      <c r="E70" s="5">
        <f>'SAP Results'!E70</f>
        <v>0</v>
      </c>
      <c r="F70" s="5">
        <f>'SAP Results'!F70</f>
        <v>10.212999999999999</v>
      </c>
      <c r="G70" s="5">
        <f>'SAP Results'!G70</f>
        <v>0</v>
      </c>
      <c r="H70" s="5">
        <f>'SAP Results'!H70</f>
        <v>0</v>
      </c>
      <c r="I70" s="5">
        <f>'SAP Results'!I70</f>
        <v>0</v>
      </c>
      <c r="J70" s="5">
        <f>'SAP Results'!J70</f>
        <v>-41.230899999999998</v>
      </c>
      <c r="K70" s="6" t="str">
        <f>'SAP Results'!K70</f>
        <v>4-1</v>
      </c>
      <c r="L70" s="5">
        <f>'SAP Results'!L70</f>
        <v>5.03125</v>
      </c>
    </row>
    <row r="71" spans="1:12" ht="15.75" hidden="1" customHeight="1">
      <c r="A71" s="6" t="str">
        <f>'SAP Results'!A71</f>
        <v>4</v>
      </c>
      <c r="B71" s="5">
        <f>'SAP Results'!B71</f>
        <v>6.0374999999999996</v>
      </c>
      <c r="C71" s="5" t="str">
        <f>'SAP Results'!C71</f>
        <v>G-2</v>
      </c>
      <c r="D71" s="5" t="str">
        <f>'SAP Results'!D71</f>
        <v>LinStatic</v>
      </c>
      <c r="E71" s="5">
        <f>'SAP Results'!E71</f>
        <v>0</v>
      </c>
      <c r="F71" s="5">
        <f>'SAP Results'!F71</f>
        <v>10.212999999999999</v>
      </c>
      <c r="G71" s="5">
        <f>'SAP Results'!G71</f>
        <v>0</v>
      </c>
      <c r="H71" s="5">
        <f>'SAP Results'!H71</f>
        <v>0</v>
      </c>
      <c r="I71" s="5">
        <f>'SAP Results'!I71</f>
        <v>0</v>
      </c>
      <c r="J71" s="5">
        <f>'SAP Results'!J71</f>
        <v>-51.507899999999999</v>
      </c>
      <c r="K71" s="6" t="str">
        <f>'SAP Results'!K71</f>
        <v>4-1</v>
      </c>
      <c r="L71" s="5">
        <f>'SAP Results'!L71</f>
        <v>6.0374999999999996</v>
      </c>
    </row>
    <row r="72" spans="1:12" ht="15.75" hidden="1" customHeight="1">
      <c r="A72" s="6" t="str">
        <f>'SAP Results'!A72</f>
        <v>4</v>
      </c>
      <c r="B72" s="5">
        <f>'SAP Results'!B72</f>
        <v>7.0437500000000002</v>
      </c>
      <c r="C72" s="5" t="str">
        <f>'SAP Results'!C72</f>
        <v>G-2</v>
      </c>
      <c r="D72" s="5" t="str">
        <f>'SAP Results'!D72</f>
        <v>LinStatic</v>
      </c>
      <c r="E72" s="5">
        <f>'SAP Results'!E72</f>
        <v>0</v>
      </c>
      <c r="F72" s="5">
        <f>'SAP Results'!F72</f>
        <v>10.212999999999999</v>
      </c>
      <c r="G72" s="5">
        <f>'SAP Results'!G72</f>
        <v>0</v>
      </c>
      <c r="H72" s="5">
        <f>'SAP Results'!H72</f>
        <v>0</v>
      </c>
      <c r="I72" s="5">
        <f>'SAP Results'!I72</f>
        <v>0</v>
      </c>
      <c r="J72" s="5">
        <f>'SAP Results'!J72</f>
        <v>-61.784999999999997</v>
      </c>
      <c r="K72" s="6" t="str">
        <f>'SAP Results'!K72</f>
        <v>4-1</v>
      </c>
      <c r="L72" s="5">
        <f>'SAP Results'!L72</f>
        <v>7.0437500000000002</v>
      </c>
    </row>
    <row r="73" spans="1:12" ht="15.75" hidden="1" customHeight="1">
      <c r="A73" s="6" t="str">
        <f>'SAP Results'!A73</f>
        <v>4</v>
      </c>
      <c r="B73" s="5">
        <f>'SAP Results'!B73</f>
        <v>8.0500000000000007</v>
      </c>
      <c r="C73" s="5" t="str">
        <f>'SAP Results'!C73</f>
        <v>G-2</v>
      </c>
      <c r="D73" s="5" t="str">
        <f>'SAP Results'!D73</f>
        <v>LinStatic</v>
      </c>
      <c r="E73" s="5">
        <f>'SAP Results'!E73</f>
        <v>0</v>
      </c>
      <c r="F73" s="5">
        <f>'SAP Results'!F73</f>
        <v>10.212999999999999</v>
      </c>
      <c r="G73" s="5">
        <f>'SAP Results'!G73</f>
        <v>0</v>
      </c>
      <c r="H73" s="5">
        <f>'SAP Results'!H73</f>
        <v>0</v>
      </c>
      <c r="I73" s="5">
        <f>'SAP Results'!I73</f>
        <v>0</v>
      </c>
      <c r="J73" s="5">
        <f>'SAP Results'!J73</f>
        <v>-72.061999999999998</v>
      </c>
      <c r="K73" s="6" t="str">
        <f>'SAP Results'!K73</f>
        <v>4-1</v>
      </c>
      <c r="L73" s="5">
        <f>'SAP Results'!L73</f>
        <v>8.0500000000000007</v>
      </c>
    </row>
    <row r="74" spans="1:12" ht="15.75" hidden="1" customHeight="1">
      <c r="A74" s="6" t="str">
        <f>'SAP Results'!A74</f>
        <v>4</v>
      </c>
      <c r="B74" s="5">
        <f>'SAP Results'!B74</f>
        <v>0</v>
      </c>
      <c r="C74" s="5" t="str">
        <f>'SAP Results'!C74</f>
        <v>Q-1</v>
      </c>
      <c r="D74" s="5" t="str">
        <f>'SAP Results'!D74</f>
        <v>LinStatic</v>
      </c>
      <c r="E74" s="5">
        <f>'SAP Results'!E74</f>
        <v>0</v>
      </c>
      <c r="F74" s="5">
        <f>'SAP Results'!F74</f>
        <v>-77.08</v>
      </c>
      <c r="G74" s="5">
        <f>'SAP Results'!G74</f>
        <v>0</v>
      </c>
      <c r="H74" s="5">
        <f>'SAP Results'!H74</f>
        <v>0</v>
      </c>
      <c r="I74" s="5">
        <f>'SAP Results'!I74</f>
        <v>0</v>
      </c>
      <c r="J74" s="5">
        <f>'SAP Results'!J74</f>
        <v>-63.004600000000003</v>
      </c>
      <c r="K74" s="6" t="str">
        <f>'SAP Results'!K74</f>
        <v>4-1</v>
      </c>
      <c r="L74" s="5">
        <f>'SAP Results'!L74</f>
        <v>0</v>
      </c>
    </row>
    <row r="75" spans="1:12" ht="15.75" hidden="1" customHeight="1">
      <c r="A75" s="6" t="str">
        <f>'SAP Results'!A75</f>
        <v>4</v>
      </c>
      <c r="B75" s="5">
        <f>'SAP Results'!B75</f>
        <v>1.0062500000000001</v>
      </c>
      <c r="C75" s="5" t="str">
        <f>'SAP Results'!C75</f>
        <v>Q-1</v>
      </c>
      <c r="D75" s="5" t="str">
        <f>'SAP Results'!D75</f>
        <v>LinStatic</v>
      </c>
      <c r="E75" s="5">
        <f>'SAP Results'!E75</f>
        <v>0</v>
      </c>
      <c r="F75" s="5">
        <f>'SAP Results'!F75</f>
        <v>-56.829000000000001</v>
      </c>
      <c r="G75" s="5">
        <f>'SAP Results'!G75</f>
        <v>0</v>
      </c>
      <c r="H75" s="5">
        <f>'SAP Results'!H75</f>
        <v>0</v>
      </c>
      <c r="I75" s="5">
        <f>'SAP Results'!I75</f>
        <v>0</v>
      </c>
      <c r="J75" s="5">
        <f>'SAP Results'!J75</f>
        <v>4.3686999999999996</v>
      </c>
      <c r="K75" s="6" t="str">
        <f>'SAP Results'!K75</f>
        <v>4-1</v>
      </c>
      <c r="L75" s="5">
        <f>'SAP Results'!L75</f>
        <v>1.0062500000000001</v>
      </c>
    </row>
    <row r="76" spans="1:12" ht="15.75" hidden="1" customHeight="1">
      <c r="A76" s="6" t="str">
        <f>'SAP Results'!A76</f>
        <v>4</v>
      </c>
      <c r="B76" s="5">
        <f>'SAP Results'!B76</f>
        <v>2.0125000000000002</v>
      </c>
      <c r="C76" s="5" t="str">
        <f>'SAP Results'!C76</f>
        <v>Q-1</v>
      </c>
      <c r="D76" s="5" t="str">
        <f>'SAP Results'!D76</f>
        <v>LinStatic</v>
      </c>
      <c r="E76" s="5">
        <f>'SAP Results'!E76</f>
        <v>0</v>
      </c>
      <c r="F76" s="5">
        <f>'SAP Results'!F76</f>
        <v>-36.579000000000001</v>
      </c>
      <c r="G76" s="5">
        <f>'SAP Results'!G76</f>
        <v>0</v>
      </c>
      <c r="H76" s="5">
        <f>'SAP Results'!H76</f>
        <v>0</v>
      </c>
      <c r="I76" s="5">
        <f>'SAP Results'!I76</f>
        <v>0</v>
      </c>
      <c r="J76" s="5">
        <f>'SAP Results'!J76</f>
        <v>51.364699999999999</v>
      </c>
      <c r="K76" s="6" t="str">
        <f>'SAP Results'!K76</f>
        <v>4-1</v>
      </c>
      <c r="L76" s="5">
        <f>'SAP Results'!L76</f>
        <v>2.0125000000000002</v>
      </c>
    </row>
    <row r="77" spans="1:12" ht="15.75" hidden="1" customHeight="1">
      <c r="A77" s="6" t="str">
        <f>'SAP Results'!A77</f>
        <v>4</v>
      </c>
      <c r="B77" s="5">
        <f>'SAP Results'!B77</f>
        <v>3.0187499999999998</v>
      </c>
      <c r="C77" s="5" t="str">
        <f>'SAP Results'!C77</f>
        <v>Q-1</v>
      </c>
      <c r="D77" s="5" t="str">
        <f>'SAP Results'!D77</f>
        <v>LinStatic</v>
      </c>
      <c r="E77" s="5">
        <f>'SAP Results'!E77</f>
        <v>0</v>
      </c>
      <c r="F77" s="5">
        <f>'SAP Results'!F77</f>
        <v>-16.327999999999999</v>
      </c>
      <c r="G77" s="5">
        <f>'SAP Results'!G77</f>
        <v>0</v>
      </c>
      <c r="H77" s="5">
        <f>'SAP Results'!H77</f>
        <v>0</v>
      </c>
      <c r="I77" s="5">
        <f>'SAP Results'!I77</f>
        <v>0</v>
      </c>
      <c r="J77" s="5">
        <f>'SAP Results'!J77</f>
        <v>77.983400000000003</v>
      </c>
      <c r="K77" s="6" t="str">
        <f>'SAP Results'!K77</f>
        <v>4-1</v>
      </c>
      <c r="L77" s="5">
        <f>'SAP Results'!L77</f>
        <v>3.0187499999999998</v>
      </c>
    </row>
    <row r="78" spans="1:12" ht="15.75" hidden="1" customHeight="1">
      <c r="A78" s="6" t="str">
        <f>'SAP Results'!A78</f>
        <v>4</v>
      </c>
      <c r="B78" s="5">
        <f>'SAP Results'!B78</f>
        <v>4.0250000000000004</v>
      </c>
      <c r="C78" s="5" t="str">
        <f>'SAP Results'!C78</f>
        <v>Q-1</v>
      </c>
      <c r="D78" s="5" t="str">
        <f>'SAP Results'!D78</f>
        <v>LinStatic</v>
      </c>
      <c r="E78" s="5">
        <f>'SAP Results'!E78</f>
        <v>0</v>
      </c>
      <c r="F78" s="5">
        <f>'SAP Results'!F78</f>
        <v>3.923</v>
      </c>
      <c r="G78" s="5">
        <f>'SAP Results'!G78</f>
        <v>0</v>
      </c>
      <c r="H78" s="5">
        <f>'SAP Results'!H78</f>
        <v>0</v>
      </c>
      <c r="I78" s="5">
        <f>'SAP Results'!I78</f>
        <v>0</v>
      </c>
      <c r="J78" s="5">
        <f>'SAP Results'!J78</f>
        <v>84.224699999999999</v>
      </c>
      <c r="K78" s="6" t="str">
        <f>'SAP Results'!K78</f>
        <v>4-1</v>
      </c>
      <c r="L78" s="5">
        <f>'SAP Results'!L78</f>
        <v>4.0250000000000004</v>
      </c>
    </row>
    <row r="79" spans="1:12" ht="15.75" hidden="1" customHeight="1">
      <c r="A79" s="6" t="str">
        <f>'SAP Results'!A79</f>
        <v>4</v>
      </c>
      <c r="B79" s="5">
        <f>'SAP Results'!B79</f>
        <v>5.03125</v>
      </c>
      <c r="C79" s="5" t="str">
        <f>'SAP Results'!C79</f>
        <v>Q-1</v>
      </c>
      <c r="D79" s="5" t="str">
        <f>'SAP Results'!D79</f>
        <v>LinStatic</v>
      </c>
      <c r="E79" s="5">
        <f>'SAP Results'!E79</f>
        <v>0</v>
      </c>
      <c r="F79" s="5">
        <f>'SAP Results'!F79</f>
        <v>24.173999999999999</v>
      </c>
      <c r="G79" s="5">
        <f>'SAP Results'!G79</f>
        <v>0</v>
      </c>
      <c r="H79" s="5">
        <f>'SAP Results'!H79</f>
        <v>0</v>
      </c>
      <c r="I79" s="5">
        <f>'SAP Results'!I79</f>
        <v>0</v>
      </c>
      <c r="J79" s="5">
        <f>'SAP Results'!J79</f>
        <v>70.0886</v>
      </c>
      <c r="K79" s="6" t="str">
        <f>'SAP Results'!K79</f>
        <v>4-1</v>
      </c>
      <c r="L79" s="5">
        <f>'SAP Results'!L79</f>
        <v>5.03125</v>
      </c>
    </row>
    <row r="80" spans="1:12" ht="15.75" hidden="1" customHeight="1">
      <c r="A80" s="6" t="str">
        <f>'SAP Results'!A80</f>
        <v>4</v>
      </c>
      <c r="B80" s="5">
        <f>'SAP Results'!B80</f>
        <v>6.0374999999999996</v>
      </c>
      <c r="C80" s="5" t="str">
        <f>'SAP Results'!C80</f>
        <v>Q-1</v>
      </c>
      <c r="D80" s="5" t="str">
        <f>'SAP Results'!D80</f>
        <v>LinStatic</v>
      </c>
      <c r="E80" s="5">
        <f>'SAP Results'!E80</f>
        <v>0</v>
      </c>
      <c r="F80" s="5">
        <f>'SAP Results'!F80</f>
        <v>44.423999999999999</v>
      </c>
      <c r="G80" s="5">
        <f>'SAP Results'!G80</f>
        <v>0</v>
      </c>
      <c r="H80" s="5">
        <f>'SAP Results'!H80</f>
        <v>0</v>
      </c>
      <c r="I80" s="5">
        <f>'SAP Results'!I80</f>
        <v>0</v>
      </c>
      <c r="J80" s="5">
        <f>'SAP Results'!J80</f>
        <v>35.575299999999999</v>
      </c>
      <c r="K80" s="6" t="str">
        <f>'SAP Results'!K80</f>
        <v>4-1</v>
      </c>
      <c r="L80" s="5">
        <f>'SAP Results'!L80</f>
        <v>6.0374999999999996</v>
      </c>
    </row>
    <row r="81" spans="1:12" ht="15.75" hidden="1" customHeight="1">
      <c r="A81" s="6" t="str">
        <f>'SAP Results'!A81</f>
        <v>4</v>
      </c>
      <c r="B81" s="5">
        <f>'SAP Results'!B81</f>
        <v>7.0437500000000002</v>
      </c>
      <c r="C81" s="5" t="str">
        <f>'SAP Results'!C81</f>
        <v>Q-1</v>
      </c>
      <c r="D81" s="5" t="str">
        <f>'SAP Results'!D81</f>
        <v>LinStatic</v>
      </c>
      <c r="E81" s="5">
        <f>'SAP Results'!E81</f>
        <v>0</v>
      </c>
      <c r="F81" s="5">
        <f>'SAP Results'!F81</f>
        <v>64.674999999999997</v>
      </c>
      <c r="G81" s="5">
        <f>'SAP Results'!G81</f>
        <v>0</v>
      </c>
      <c r="H81" s="5">
        <f>'SAP Results'!H81</f>
        <v>0</v>
      </c>
      <c r="I81" s="5">
        <f>'SAP Results'!I81</f>
        <v>0</v>
      </c>
      <c r="J81" s="5">
        <f>'SAP Results'!J81</f>
        <v>-19.3155</v>
      </c>
      <c r="K81" s="6" t="str">
        <f>'SAP Results'!K81</f>
        <v>4-1</v>
      </c>
      <c r="L81" s="5">
        <f>'SAP Results'!L81</f>
        <v>7.0437500000000002</v>
      </c>
    </row>
    <row r="82" spans="1:12" ht="15.75" hidden="1" customHeight="1">
      <c r="A82" s="6" t="str">
        <f>'SAP Results'!A82</f>
        <v>4</v>
      </c>
      <c r="B82" s="5">
        <f>'SAP Results'!B82</f>
        <v>8.0500000000000007</v>
      </c>
      <c r="C82" s="5" t="str">
        <f>'SAP Results'!C82</f>
        <v>Q-1</v>
      </c>
      <c r="D82" s="5" t="str">
        <f>'SAP Results'!D82</f>
        <v>LinStatic</v>
      </c>
      <c r="E82" s="5">
        <f>'SAP Results'!E82</f>
        <v>0</v>
      </c>
      <c r="F82" s="5">
        <f>'SAP Results'!F82</f>
        <v>84.926000000000002</v>
      </c>
      <c r="G82" s="5">
        <f>'SAP Results'!G82</f>
        <v>0</v>
      </c>
      <c r="H82" s="5">
        <f>'SAP Results'!H82</f>
        <v>0</v>
      </c>
      <c r="I82" s="5">
        <f>'SAP Results'!I82</f>
        <v>0</v>
      </c>
      <c r="J82" s="5">
        <f>'SAP Results'!J82</f>
        <v>-94.583600000000004</v>
      </c>
      <c r="K82" s="6" t="str">
        <f>'SAP Results'!K82</f>
        <v>4-1</v>
      </c>
      <c r="L82" s="5">
        <f>'SAP Results'!L82</f>
        <v>8.0500000000000007</v>
      </c>
    </row>
    <row r="83" spans="1:12" ht="15.75" customHeight="1">
      <c r="A83" s="6" t="str">
        <f>'SAP Results'!A83</f>
        <v>4</v>
      </c>
      <c r="B83" s="5">
        <f>'SAP Results'!B83</f>
        <v>0</v>
      </c>
      <c r="C83" s="5" t="str">
        <f>'SAP Results'!C83</f>
        <v>Q-2</v>
      </c>
      <c r="D83" s="5" t="str">
        <f>'SAP Results'!D83</f>
        <v>LinStatic</v>
      </c>
      <c r="E83" s="5">
        <f>'SAP Results'!E83</f>
        <v>0</v>
      </c>
      <c r="F83" s="5">
        <f>'SAP Results'!F83</f>
        <v>5.1529999999999996</v>
      </c>
      <c r="G83" s="5">
        <f>'SAP Results'!G83</f>
        <v>0</v>
      </c>
      <c r="H83" s="5">
        <f>'SAP Results'!H83</f>
        <v>0</v>
      </c>
      <c r="I83" s="5">
        <f>'SAP Results'!I83</f>
        <v>0</v>
      </c>
      <c r="J83" s="5">
        <f>'SAP Results'!J83</f>
        <v>5.1230000000000002</v>
      </c>
      <c r="K83" s="6" t="str">
        <f>'SAP Results'!K83</f>
        <v>4-1</v>
      </c>
      <c r="L83" s="5">
        <f>'SAP Results'!L83</f>
        <v>0</v>
      </c>
    </row>
    <row r="84" spans="1:12" ht="15.75" customHeight="1">
      <c r="A84" s="6" t="str">
        <f>'SAP Results'!A84</f>
        <v>4</v>
      </c>
      <c r="B84" s="5">
        <f>'SAP Results'!B84</f>
        <v>1.0062500000000001</v>
      </c>
      <c r="C84" s="5" t="str">
        <f>'SAP Results'!C84</f>
        <v>Q-2</v>
      </c>
      <c r="D84" s="5" t="str">
        <f>'SAP Results'!D84</f>
        <v>LinStatic</v>
      </c>
      <c r="E84" s="5">
        <f>'SAP Results'!E84</f>
        <v>0</v>
      </c>
      <c r="F84" s="5">
        <f>'SAP Results'!F84</f>
        <v>5.1529999999999996</v>
      </c>
      <c r="G84" s="5">
        <f>'SAP Results'!G84</f>
        <v>0</v>
      </c>
      <c r="H84" s="5">
        <f>'SAP Results'!H84</f>
        <v>0</v>
      </c>
      <c r="I84" s="5">
        <f>'SAP Results'!I84</f>
        <v>0</v>
      </c>
      <c r="J84" s="5">
        <f>'SAP Results'!J84</f>
        <v>-6.1899999999999997E-2</v>
      </c>
      <c r="K84" s="6" t="str">
        <f>'SAP Results'!K84</f>
        <v>4-1</v>
      </c>
      <c r="L84" s="5">
        <f>'SAP Results'!L84</f>
        <v>1.0062500000000001</v>
      </c>
    </row>
    <row r="85" spans="1:12" ht="15.75" customHeight="1">
      <c r="A85" s="6" t="str">
        <f>'SAP Results'!A85</f>
        <v>4</v>
      </c>
      <c r="B85" s="5">
        <f>'SAP Results'!B85</f>
        <v>2.0125000000000002</v>
      </c>
      <c r="C85" s="5" t="str">
        <f>'SAP Results'!C85</f>
        <v>Q-2</v>
      </c>
      <c r="D85" s="5" t="str">
        <f>'SAP Results'!D85</f>
        <v>LinStatic</v>
      </c>
      <c r="E85" s="5">
        <f>'SAP Results'!E85</f>
        <v>0</v>
      </c>
      <c r="F85" s="5">
        <f>'SAP Results'!F85</f>
        <v>5.1529999999999996</v>
      </c>
      <c r="G85" s="5">
        <f>'SAP Results'!G85</f>
        <v>0</v>
      </c>
      <c r="H85" s="5">
        <f>'SAP Results'!H85</f>
        <v>0</v>
      </c>
      <c r="I85" s="5">
        <f>'SAP Results'!I85</f>
        <v>0</v>
      </c>
      <c r="J85" s="5">
        <f>'SAP Results'!J85</f>
        <v>-5.2468000000000004</v>
      </c>
      <c r="K85" s="6" t="str">
        <f>'SAP Results'!K85</f>
        <v>4-1</v>
      </c>
      <c r="L85" s="5">
        <f>'SAP Results'!L85</f>
        <v>2.0125000000000002</v>
      </c>
    </row>
    <row r="86" spans="1:12" ht="15.75" customHeight="1">
      <c r="A86" s="6" t="str">
        <f>'SAP Results'!A86</f>
        <v>4</v>
      </c>
      <c r="B86" s="5">
        <f>'SAP Results'!B86</f>
        <v>3.0187499999999998</v>
      </c>
      <c r="C86" s="5" t="str">
        <f>'SAP Results'!C86</f>
        <v>Q-2</v>
      </c>
      <c r="D86" s="5" t="str">
        <f>'SAP Results'!D86</f>
        <v>LinStatic</v>
      </c>
      <c r="E86" s="5">
        <f>'SAP Results'!E86</f>
        <v>0</v>
      </c>
      <c r="F86" s="5">
        <f>'SAP Results'!F86</f>
        <v>5.1529999999999996</v>
      </c>
      <c r="G86" s="5">
        <f>'SAP Results'!G86</f>
        <v>0</v>
      </c>
      <c r="H86" s="5">
        <f>'SAP Results'!H86</f>
        <v>0</v>
      </c>
      <c r="I86" s="5">
        <f>'SAP Results'!I86</f>
        <v>0</v>
      </c>
      <c r="J86" s="5">
        <f>'SAP Results'!J86</f>
        <v>-10.431699999999999</v>
      </c>
      <c r="K86" s="6" t="str">
        <f>'SAP Results'!K86</f>
        <v>4-1</v>
      </c>
      <c r="L86" s="5">
        <f>'SAP Results'!L86</f>
        <v>3.0187499999999998</v>
      </c>
    </row>
    <row r="87" spans="1:12" ht="15.75" customHeight="1">
      <c r="A87" s="6" t="str">
        <f>'SAP Results'!A87</f>
        <v>4</v>
      </c>
      <c r="B87" s="5">
        <f>'SAP Results'!B87</f>
        <v>4.0250000000000004</v>
      </c>
      <c r="C87" s="5" t="str">
        <f>'SAP Results'!C87</f>
        <v>Q-2</v>
      </c>
      <c r="D87" s="5" t="str">
        <f>'SAP Results'!D87</f>
        <v>LinStatic</v>
      </c>
      <c r="E87" s="5">
        <f>'SAP Results'!E87</f>
        <v>0</v>
      </c>
      <c r="F87" s="5">
        <f>'SAP Results'!F87</f>
        <v>5.1529999999999996</v>
      </c>
      <c r="G87" s="5">
        <f>'SAP Results'!G87</f>
        <v>0</v>
      </c>
      <c r="H87" s="5">
        <f>'SAP Results'!H87</f>
        <v>0</v>
      </c>
      <c r="I87" s="5">
        <f>'SAP Results'!I87</f>
        <v>0</v>
      </c>
      <c r="J87" s="5">
        <f>'SAP Results'!J87</f>
        <v>-15.6166</v>
      </c>
      <c r="K87" s="6" t="str">
        <f>'SAP Results'!K87</f>
        <v>4-1</v>
      </c>
      <c r="L87" s="5">
        <f>'SAP Results'!L87</f>
        <v>4.0250000000000004</v>
      </c>
    </row>
    <row r="88" spans="1:12" ht="15.75" customHeight="1">
      <c r="A88" s="6" t="str">
        <f>'SAP Results'!A88</f>
        <v>4</v>
      </c>
      <c r="B88" s="5">
        <f>'SAP Results'!B88</f>
        <v>5.03125</v>
      </c>
      <c r="C88" s="5" t="str">
        <f>'SAP Results'!C88</f>
        <v>Q-2</v>
      </c>
      <c r="D88" s="5" t="str">
        <f>'SAP Results'!D88</f>
        <v>LinStatic</v>
      </c>
      <c r="E88" s="5">
        <f>'SAP Results'!E88</f>
        <v>0</v>
      </c>
      <c r="F88" s="5">
        <f>'SAP Results'!F88</f>
        <v>5.1529999999999996</v>
      </c>
      <c r="G88" s="5">
        <f>'SAP Results'!G88</f>
        <v>0</v>
      </c>
      <c r="H88" s="5">
        <f>'SAP Results'!H88</f>
        <v>0</v>
      </c>
      <c r="I88" s="5">
        <f>'SAP Results'!I88</f>
        <v>0</v>
      </c>
      <c r="J88" s="5">
        <f>'SAP Results'!J88</f>
        <v>-20.801500000000001</v>
      </c>
      <c r="K88" s="6" t="str">
        <f>'SAP Results'!K88</f>
        <v>4-1</v>
      </c>
      <c r="L88" s="5">
        <f>'SAP Results'!L88</f>
        <v>5.03125</v>
      </c>
    </row>
    <row r="89" spans="1:12" ht="15.75" customHeight="1">
      <c r="A89" s="6" t="str">
        <f>'SAP Results'!A89</f>
        <v>4</v>
      </c>
      <c r="B89" s="5">
        <f>'SAP Results'!B89</f>
        <v>6.0374999999999996</v>
      </c>
      <c r="C89" s="5" t="str">
        <f>'SAP Results'!C89</f>
        <v>Q-2</v>
      </c>
      <c r="D89" s="5" t="str">
        <f>'SAP Results'!D89</f>
        <v>LinStatic</v>
      </c>
      <c r="E89" s="5">
        <f>'SAP Results'!E89</f>
        <v>0</v>
      </c>
      <c r="F89" s="5">
        <f>'SAP Results'!F89</f>
        <v>5.1529999999999996</v>
      </c>
      <c r="G89" s="5">
        <f>'SAP Results'!G89</f>
        <v>0</v>
      </c>
      <c r="H89" s="5">
        <f>'SAP Results'!H89</f>
        <v>0</v>
      </c>
      <c r="I89" s="5">
        <f>'SAP Results'!I89</f>
        <v>0</v>
      </c>
      <c r="J89" s="5">
        <f>'SAP Results'!J89</f>
        <v>-25.9864</v>
      </c>
      <c r="K89" s="6" t="str">
        <f>'SAP Results'!K89</f>
        <v>4-1</v>
      </c>
      <c r="L89" s="5">
        <f>'SAP Results'!L89</f>
        <v>6.0374999999999996</v>
      </c>
    </row>
    <row r="90" spans="1:12" ht="15.75" customHeight="1">
      <c r="A90" s="6" t="str">
        <f>'SAP Results'!A90</f>
        <v>4</v>
      </c>
      <c r="B90" s="5">
        <f>'SAP Results'!B90</f>
        <v>7.0437500000000002</v>
      </c>
      <c r="C90" s="5" t="str">
        <f>'SAP Results'!C90</f>
        <v>Q-2</v>
      </c>
      <c r="D90" s="5" t="str">
        <f>'SAP Results'!D90</f>
        <v>LinStatic</v>
      </c>
      <c r="E90" s="5">
        <f>'SAP Results'!E90</f>
        <v>0</v>
      </c>
      <c r="F90" s="5">
        <f>'SAP Results'!F90</f>
        <v>5.1529999999999996</v>
      </c>
      <c r="G90" s="5">
        <f>'SAP Results'!G90</f>
        <v>0</v>
      </c>
      <c r="H90" s="5">
        <f>'SAP Results'!H90</f>
        <v>0</v>
      </c>
      <c r="I90" s="5">
        <f>'SAP Results'!I90</f>
        <v>0</v>
      </c>
      <c r="J90" s="5">
        <f>'SAP Results'!J90</f>
        <v>-31.171299999999999</v>
      </c>
      <c r="K90" s="6" t="str">
        <f>'SAP Results'!K90</f>
        <v>4-1</v>
      </c>
      <c r="L90" s="5">
        <f>'SAP Results'!L90</f>
        <v>7.0437500000000002</v>
      </c>
    </row>
    <row r="91" spans="1:12" ht="15.75" customHeight="1">
      <c r="A91" s="6" t="str">
        <f>'SAP Results'!A91</f>
        <v>4</v>
      </c>
      <c r="B91" s="5">
        <f>'SAP Results'!B91</f>
        <v>8.0500000000000007</v>
      </c>
      <c r="C91" s="5" t="str">
        <f>'SAP Results'!C91</f>
        <v>Q-2</v>
      </c>
      <c r="D91" s="5" t="str">
        <f>'SAP Results'!D91</f>
        <v>LinStatic</v>
      </c>
      <c r="E91" s="5">
        <f>'SAP Results'!E91</f>
        <v>0</v>
      </c>
      <c r="F91" s="5">
        <f>'SAP Results'!F91</f>
        <v>5.1529999999999996</v>
      </c>
      <c r="G91" s="5">
        <f>'SAP Results'!G91</f>
        <v>0</v>
      </c>
      <c r="H91" s="5">
        <f>'SAP Results'!H91</f>
        <v>0</v>
      </c>
      <c r="I91" s="5">
        <f>'SAP Results'!I91</f>
        <v>0</v>
      </c>
      <c r="J91" s="5">
        <f>'SAP Results'!J91</f>
        <v>-36.356200000000001</v>
      </c>
      <c r="K91" s="6" t="str">
        <f>'SAP Results'!K91</f>
        <v>4-1</v>
      </c>
      <c r="L91" s="5">
        <f>'SAP Results'!L91</f>
        <v>8.0500000000000007</v>
      </c>
    </row>
    <row r="92" spans="1:12" ht="15.75" hidden="1" customHeight="1">
      <c r="A92" s="6" t="str">
        <f>'SAP Results'!A92</f>
        <v>5</v>
      </c>
      <c r="B92" s="5">
        <f>'SAP Results'!B92</f>
        <v>0</v>
      </c>
      <c r="C92" s="5" t="str">
        <f>'SAP Results'!C92</f>
        <v>EX</v>
      </c>
      <c r="D92" s="5" t="str">
        <f>'SAP Results'!D92</f>
        <v>LinStatic</v>
      </c>
      <c r="E92" s="5">
        <f>'SAP Results'!E92</f>
        <v>0</v>
      </c>
      <c r="F92" s="5">
        <f>'SAP Results'!F92</f>
        <v>18.693999999999999</v>
      </c>
      <c r="G92" s="5">
        <f>'SAP Results'!G92</f>
        <v>0</v>
      </c>
      <c r="H92" s="5">
        <f>'SAP Results'!H92</f>
        <v>0</v>
      </c>
      <c r="I92" s="5">
        <f>'SAP Results'!I92</f>
        <v>0</v>
      </c>
      <c r="J92" s="5">
        <f>'SAP Results'!J92</f>
        <v>64.579499999999996</v>
      </c>
      <c r="K92" s="6" t="str">
        <f>'SAP Results'!K92</f>
        <v>5-1</v>
      </c>
      <c r="L92" s="5">
        <f>'SAP Results'!L92</f>
        <v>0</v>
      </c>
    </row>
    <row r="93" spans="1:12" ht="15.75" hidden="1" customHeight="1">
      <c r="A93" s="6" t="str">
        <f>'SAP Results'!A93</f>
        <v>5</v>
      </c>
      <c r="B93" s="5">
        <f>'SAP Results'!B93</f>
        <v>1.0062500000000001</v>
      </c>
      <c r="C93" s="5" t="str">
        <f>'SAP Results'!C93</f>
        <v>EX</v>
      </c>
      <c r="D93" s="5" t="str">
        <f>'SAP Results'!D93</f>
        <v>LinStatic</v>
      </c>
      <c r="E93" s="5">
        <f>'SAP Results'!E93</f>
        <v>0</v>
      </c>
      <c r="F93" s="5">
        <f>'SAP Results'!F93</f>
        <v>18.693999999999999</v>
      </c>
      <c r="G93" s="5">
        <f>'SAP Results'!G93</f>
        <v>0</v>
      </c>
      <c r="H93" s="5">
        <f>'SAP Results'!H93</f>
        <v>0</v>
      </c>
      <c r="I93" s="5">
        <f>'SAP Results'!I93</f>
        <v>0</v>
      </c>
      <c r="J93" s="5">
        <f>'SAP Results'!J93</f>
        <v>45.768900000000002</v>
      </c>
      <c r="K93" s="6" t="str">
        <f>'SAP Results'!K93</f>
        <v>5-1</v>
      </c>
      <c r="L93" s="5">
        <f>'SAP Results'!L93</f>
        <v>1.0062500000000001</v>
      </c>
    </row>
    <row r="94" spans="1:12" ht="15.75" hidden="1" customHeight="1">
      <c r="A94" s="6" t="str">
        <f>'SAP Results'!A94</f>
        <v>5</v>
      </c>
      <c r="B94" s="5">
        <f>'SAP Results'!B94</f>
        <v>2.0125000000000002</v>
      </c>
      <c r="C94" s="5" t="str">
        <f>'SAP Results'!C94</f>
        <v>EX</v>
      </c>
      <c r="D94" s="5" t="str">
        <f>'SAP Results'!D94</f>
        <v>LinStatic</v>
      </c>
      <c r="E94" s="5">
        <f>'SAP Results'!E94</f>
        <v>0</v>
      </c>
      <c r="F94" s="5">
        <f>'SAP Results'!F94</f>
        <v>18.693999999999999</v>
      </c>
      <c r="G94" s="5">
        <f>'SAP Results'!G94</f>
        <v>0</v>
      </c>
      <c r="H94" s="5">
        <f>'SAP Results'!H94</f>
        <v>0</v>
      </c>
      <c r="I94" s="5">
        <f>'SAP Results'!I94</f>
        <v>0</v>
      </c>
      <c r="J94" s="5">
        <f>'SAP Results'!J94</f>
        <v>26.958400000000001</v>
      </c>
      <c r="K94" s="6" t="str">
        <f>'SAP Results'!K94</f>
        <v>5-1</v>
      </c>
      <c r="L94" s="5">
        <f>'SAP Results'!L94</f>
        <v>2.0125000000000002</v>
      </c>
    </row>
    <row r="95" spans="1:12" ht="15.75" hidden="1" customHeight="1">
      <c r="A95" s="6" t="str">
        <f>'SAP Results'!A95</f>
        <v>5</v>
      </c>
      <c r="B95" s="5">
        <f>'SAP Results'!B95</f>
        <v>3.0187499999999998</v>
      </c>
      <c r="C95" s="5" t="str">
        <f>'SAP Results'!C95</f>
        <v>EX</v>
      </c>
      <c r="D95" s="5" t="str">
        <f>'SAP Results'!D95</f>
        <v>LinStatic</v>
      </c>
      <c r="E95" s="5">
        <f>'SAP Results'!E95</f>
        <v>0</v>
      </c>
      <c r="F95" s="5">
        <f>'SAP Results'!F95</f>
        <v>18.693999999999999</v>
      </c>
      <c r="G95" s="5">
        <f>'SAP Results'!G95</f>
        <v>0</v>
      </c>
      <c r="H95" s="5">
        <f>'SAP Results'!H95</f>
        <v>0</v>
      </c>
      <c r="I95" s="5">
        <f>'SAP Results'!I95</f>
        <v>0</v>
      </c>
      <c r="J95" s="5">
        <f>'SAP Results'!J95</f>
        <v>8.1478999999999999</v>
      </c>
      <c r="K95" s="6" t="str">
        <f>'SAP Results'!K95</f>
        <v>5-1</v>
      </c>
      <c r="L95" s="5">
        <f>'SAP Results'!L95</f>
        <v>3.0187499999999998</v>
      </c>
    </row>
    <row r="96" spans="1:12" ht="15.75" hidden="1" customHeight="1">
      <c r="A96" s="6" t="str">
        <f>'SAP Results'!A96</f>
        <v>5</v>
      </c>
      <c r="B96" s="5">
        <f>'SAP Results'!B96</f>
        <v>4.0250000000000004</v>
      </c>
      <c r="C96" s="5" t="str">
        <f>'SAP Results'!C96</f>
        <v>EX</v>
      </c>
      <c r="D96" s="5" t="str">
        <f>'SAP Results'!D96</f>
        <v>LinStatic</v>
      </c>
      <c r="E96" s="5">
        <f>'SAP Results'!E96</f>
        <v>0</v>
      </c>
      <c r="F96" s="5">
        <f>'SAP Results'!F96</f>
        <v>18.693999999999999</v>
      </c>
      <c r="G96" s="5">
        <f>'SAP Results'!G96</f>
        <v>0</v>
      </c>
      <c r="H96" s="5">
        <f>'SAP Results'!H96</f>
        <v>0</v>
      </c>
      <c r="I96" s="5">
        <f>'SAP Results'!I96</f>
        <v>0</v>
      </c>
      <c r="J96" s="5">
        <f>'SAP Results'!J96</f>
        <v>-10.662599999999999</v>
      </c>
      <c r="K96" s="6" t="str">
        <f>'SAP Results'!K96</f>
        <v>5-1</v>
      </c>
      <c r="L96" s="5">
        <f>'SAP Results'!L96</f>
        <v>4.0250000000000004</v>
      </c>
    </row>
    <row r="97" spans="1:12" ht="15.75" hidden="1" customHeight="1">
      <c r="A97" s="6" t="str">
        <f>'SAP Results'!A97</f>
        <v>5</v>
      </c>
      <c r="B97" s="5">
        <f>'SAP Results'!B97</f>
        <v>5.03125</v>
      </c>
      <c r="C97" s="5" t="str">
        <f>'SAP Results'!C97</f>
        <v>EX</v>
      </c>
      <c r="D97" s="5" t="str">
        <f>'SAP Results'!D97</f>
        <v>LinStatic</v>
      </c>
      <c r="E97" s="5">
        <f>'SAP Results'!E97</f>
        <v>0</v>
      </c>
      <c r="F97" s="5">
        <f>'SAP Results'!F97</f>
        <v>18.693999999999999</v>
      </c>
      <c r="G97" s="5">
        <f>'SAP Results'!G97</f>
        <v>0</v>
      </c>
      <c r="H97" s="5">
        <f>'SAP Results'!H97</f>
        <v>0</v>
      </c>
      <c r="I97" s="5">
        <f>'SAP Results'!I97</f>
        <v>0</v>
      </c>
      <c r="J97" s="5">
        <f>'SAP Results'!J97</f>
        <v>-29.473199999999999</v>
      </c>
      <c r="K97" s="6" t="str">
        <f>'SAP Results'!K97</f>
        <v>5-1</v>
      </c>
      <c r="L97" s="5">
        <f>'SAP Results'!L97</f>
        <v>5.03125</v>
      </c>
    </row>
    <row r="98" spans="1:12" ht="15.75" hidden="1" customHeight="1">
      <c r="A98" s="6" t="str">
        <f>'SAP Results'!A98</f>
        <v>5</v>
      </c>
      <c r="B98" s="5">
        <f>'SAP Results'!B98</f>
        <v>6.0374999999999996</v>
      </c>
      <c r="C98" s="5" t="str">
        <f>'SAP Results'!C98</f>
        <v>EX</v>
      </c>
      <c r="D98" s="5" t="str">
        <f>'SAP Results'!D98</f>
        <v>LinStatic</v>
      </c>
      <c r="E98" s="5">
        <f>'SAP Results'!E98</f>
        <v>0</v>
      </c>
      <c r="F98" s="5">
        <f>'SAP Results'!F98</f>
        <v>18.693999999999999</v>
      </c>
      <c r="G98" s="5">
        <f>'SAP Results'!G98</f>
        <v>0</v>
      </c>
      <c r="H98" s="5">
        <f>'SAP Results'!H98</f>
        <v>0</v>
      </c>
      <c r="I98" s="5">
        <f>'SAP Results'!I98</f>
        <v>0</v>
      </c>
      <c r="J98" s="5">
        <f>'SAP Results'!J98</f>
        <v>-48.283700000000003</v>
      </c>
      <c r="K98" s="6" t="str">
        <f>'SAP Results'!K98</f>
        <v>5-1</v>
      </c>
      <c r="L98" s="5">
        <f>'SAP Results'!L98</f>
        <v>6.0374999999999996</v>
      </c>
    </row>
    <row r="99" spans="1:12" ht="15.75" hidden="1" customHeight="1">
      <c r="A99" s="6" t="str">
        <f>'SAP Results'!A99</f>
        <v>5</v>
      </c>
      <c r="B99" s="5">
        <f>'SAP Results'!B99</f>
        <v>7.0437500000000002</v>
      </c>
      <c r="C99" s="5" t="str">
        <f>'SAP Results'!C99</f>
        <v>EX</v>
      </c>
      <c r="D99" s="5" t="str">
        <f>'SAP Results'!D99</f>
        <v>LinStatic</v>
      </c>
      <c r="E99" s="5">
        <f>'SAP Results'!E99</f>
        <v>0</v>
      </c>
      <c r="F99" s="5">
        <f>'SAP Results'!F99</f>
        <v>18.693999999999999</v>
      </c>
      <c r="G99" s="5">
        <f>'SAP Results'!G99</f>
        <v>0</v>
      </c>
      <c r="H99" s="5">
        <f>'SAP Results'!H99</f>
        <v>0</v>
      </c>
      <c r="I99" s="5">
        <f>'SAP Results'!I99</f>
        <v>0</v>
      </c>
      <c r="J99" s="5">
        <f>'SAP Results'!J99</f>
        <v>-67.094200000000001</v>
      </c>
      <c r="K99" s="6" t="str">
        <f>'SAP Results'!K99</f>
        <v>5-1</v>
      </c>
      <c r="L99" s="5">
        <f>'SAP Results'!L99</f>
        <v>7.0437500000000002</v>
      </c>
    </row>
    <row r="100" spans="1:12" ht="15.75" hidden="1" customHeight="1">
      <c r="A100" s="6" t="str">
        <f>'SAP Results'!A100</f>
        <v>5</v>
      </c>
      <c r="B100" s="5">
        <f>'SAP Results'!B100</f>
        <v>8.0500000000000007</v>
      </c>
      <c r="C100" s="5" t="str">
        <f>'SAP Results'!C100</f>
        <v>EX</v>
      </c>
      <c r="D100" s="5" t="str">
        <f>'SAP Results'!D100</f>
        <v>LinStatic</v>
      </c>
      <c r="E100" s="5">
        <f>'SAP Results'!E100</f>
        <v>0</v>
      </c>
      <c r="F100" s="5">
        <f>'SAP Results'!F100</f>
        <v>18.693999999999999</v>
      </c>
      <c r="G100" s="5">
        <f>'SAP Results'!G100</f>
        <v>0</v>
      </c>
      <c r="H100" s="5">
        <f>'SAP Results'!H100</f>
        <v>0</v>
      </c>
      <c r="I100" s="5">
        <f>'SAP Results'!I100</f>
        <v>0</v>
      </c>
      <c r="J100" s="5">
        <f>'SAP Results'!J100</f>
        <v>-85.904799999999994</v>
      </c>
      <c r="K100" s="6" t="str">
        <f>'SAP Results'!K100</f>
        <v>5-1</v>
      </c>
      <c r="L100" s="5">
        <f>'SAP Results'!L100</f>
        <v>8.0500000000000007</v>
      </c>
    </row>
    <row r="101" spans="1:12" ht="15.75" hidden="1" customHeight="1">
      <c r="A101" s="6" t="str">
        <f>'SAP Results'!A101</f>
        <v>5</v>
      </c>
      <c r="B101" s="5">
        <f>'SAP Results'!B101</f>
        <v>0</v>
      </c>
      <c r="C101" s="5" t="str">
        <f>'SAP Results'!C101</f>
        <v>G-1</v>
      </c>
      <c r="D101" s="5" t="str">
        <f>'SAP Results'!D101</f>
        <v>LinStatic</v>
      </c>
      <c r="E101" s="5">
        <f>'SAP Results'!E101</f>
        <v>0</v>
      </c>
      <c r="F101" s="5">
        <f>'SAP Results'!F101</f>
        <v>-10.212999999999999</v>
      </c>
      <c r="G101" s="5">
        <f>'SAP Results'!G101</f>
        <v>0</v>
      </c>
      <c r="H101" s="5">
        <f>'SAP Results'!H101</f>
        <v>0</v>
      </c>
      <c r="I101" s="5">
        <f>'SAP Results'!I101</f>
        <v>0</v>
      </c>
      <c r="J101" s="5">
        <f>'SAP Results'!J101</f>
        <v>-72.061999999999998</v>
      </c>
      <c r="K101" s="6" t="str">
        <f>'SAP Results'!K101</f>
        <v>5-1</v>
      </c>
      <c r="L101" s="5">
        <f>'SAP Results'!L101</f>
        <v>0</v>
      </c>
    </row>
    <row r="102" spans="1:12" ht="15.75" hidden="1" customHeight="1">
      <c r="A102" s="6" t="str">
        <f>'SAP Results'!A102</f>
        <v>5</v>
      </c>
      <c r="B102" s="5">
        <f>'SAP Results'!B102</f>
        <v>1.0062500000000001</v>
      </c>
      <c r="C102" s="5" t="str">
        <f>'SAP Results'!C102</f>
        <v>G-1</v>
      </c>
      <c r="D102" s="5" t="str">
        <f>'SAP Results'!D102</f>
        <v>LinStatic</v>
      </c>
      <c r="E102" s="5">
        <f>'SAP Results'!E102</f>
        <v>0</v>
      </c>
      <c r="F102" s="5">
        <f>'SAP Results'!F102</f>
        <v>-10.212999999999999</v>
      </c>
      <c r="G102" s="5">
        <f>'SAP Results'!G102</f>
        <v>0</v>
      </c>
      <c r="H102" s="5">
        <f>'SAP Results'!H102</f>
        <v>0</v>
      </c>
      <c r="I102" s="5">
        <f>'SAP Results'!I102</f>
        <v>0</v>
      </c>
      <c r="J102" s="5">
        <f>'SAP Results'!J102</f>
        <v>-61.784999999999997</v>
      </c>
      <c r="K102" s="6" t="str">
        <f>'SAP Results'!K102</f>
        <v>5-1</v>
      </c>
      <c r="L102" s="5">
        <f>'SAP Results'!L102</f>
        <v>1.0062500000000001</v>
      </c>
    </row>
    <row r="103" spans="1:12" ht="15.75" hidden="1" customHeight="1">
      <c r="A103" s="6" t="str">
        <f>'SAP Results'!A103</f>
        <v>5</v>
      </c>
      <c r="B103" s="5">
        <f>'SAP Results'!B103</f>
        <v>2.0125000000000002</v>
      </c>
      <c r="C103" s="5" t="str">
        <f>'SAP Results'!C103</f>
        <v>G-1</v>
      </c>
      <c r="D103" s="5" t="str">
        <f>'SAP Results'!D103</f>
        <v>LinStatic</v>
      </c>
      <c r="E103" s="5">
        <f>'SAP Results'!E103</f>
        <v>0</v>
      </c>
      <c r="F103" s="5">
        <f>'SAP Results'!F103</f>
        <v>-10.212999999999999</v>
      </c>
      <c r="G103" s="5">
        <f>'SAP Results'!G103</f>
        <v>0</v>
      </c>
      <c r="H103" s="5">
        <f>'SAP Results'!H103</f>
        <v>0</v>
      </c>
      <c r="I103" s="5">
        <f>'SAP Results'!I103</f>
        <v>0</v>
      </c>
      <c r="J103" s="5">
        <f>'SAP Results'!J103</f>
        <v>-51.507899999999999</v>
      </c>
      <c r="K103" s="6" t="str">
        <f>'SAP Results'!K103</f>
        <v>5-1</v>
      </c>
      <c r="L103" s="5">
        <f>'SAP Results'!L103</f>
        <v>2.0125000000000002</v>
      </c>
    </row>
    <row r="104" spans="1:12" ht="15.75" hidden="1" customHeight="1">
      <c r="A104" s="6" t="str">
        <f>'SAP Results'!A104</f>
        <v>5</v>
      </c>
      <c r="B104" s="5">
        <f>'SAP Results'!B104</f>
        <v>3.0187499999999998</v>
      </c>
      <c r="C104" s="5" t="str">
        <f>'SAP Results'!C104</f>
        <v>G-1</v>
      </c>
      <c r="D104" s="5" t="str">
        <f>'SAP Results'!D104</f>
        <v>LinStatic</v>
      </c>
      <c r="E104" s="5">
        <f>'SAP Results'!E104</f>
        <v>0</v>
      </c>
      <c r="F104" s="5">
        <f>'SAP Results'!F104</f>
        <v>-10.212999999999999</v>
      </c>
      <c r="G104" s="5">
        <f>'SAP Results'!G104</f>
        <v>0</v>
      </c>
      <c r="H104" s="5">
        <f>'SAP Results'!H104</f>
        <v>0</v>
      </c>
      <c r="I104" s="5">
        <f>'SAP Results'!I104</f>
        <v>0</v>
      </c>
      <c r="J104" s="5">
        <f>'SAP Results'!J104</f>
        <v>-41.230899999999998</v>
      </c>
      <c r="K104" s="6" t="str">
        <f>'SAP Results'!K104</f>
        <v>5-1</v>
      </c>
      <c r="L104" s="5">
        <f>'SAP Results'!L104</f>
        <v>3.0187499999999998</v>
      </c>
    </row>
    <row r="105" spans="1:12" ht="15.75" hidden="1" customHeight="1">
      <c r="A105" s="6" t="str">
        <f>'SAP Results'!A105</f>
        <v>5</v>
      </c>
      <c r="B105" s="5">
        <f>'SAP Results'!B105</f>
        <v>4.0250000000000004</v>
      </c>
      <c r="C105" s="5" t="str">
        <f>'SAP Results'!C105</f>
        <v>G-1</v>
      </c>
      <c r="D105" s="5" t="str">
        <f>'SAP Results'!D105</f>
        <v>LinStatic</v>
      </c>
      <c r="E105" s="5">
        <f>'SAP Results'!E105</f>
        <v>0</v>
      </c>
      <c r="F105" s="5">
        <f>'SAP Results'!F105</f>
        <v>-10.212999999999999</v>
      </c>
      <c r="G105" s="5">
        <f>'SAP Results'!G105</f>
        <v>0</v>
      </c>
      <c r="H105" s="5">
        <f>'SAP Results'!H105</f>
        <v>0</v>
      </c>
      <c r="I105" s="5">
        <f>'SAP Results'!I105</f>
        <v>0</v>
      </c>
      <c r="J105" s="5">
        <f>'SAP Results'!J105</f>
        <v>-30.953800000000001</v>
      </c>
      <c r="K105" s="6" t="str">
        <f>'SAP Results'!K105</f>
        <v>5-1</v>
      </c>
      <c r="L105" s="5">
        <f>'SAP Results'!L105</f>
        <v>4.0250000000000004</v>
      </c>
    </row>
    <row r="106" spans="1:12" ht="15.75" hidden="1" customHeight="1">
      <c r="A106" s="6" t="str">
        <f>'SAP Results'!A106</f>
        <v>5</v>
      </c>
      <c r="B106" s="5">
        <f>'SAP Results'!B106</f>
        <v>5.03125</v>
      </c>
      <c r="C106" s="5" t="str">
        <f>'SAP Results'!C106</f>
        <v>G-1</v>
      </c>
      <c r="D106" s="5" t="str">
        <f>'SAP Results'!D106</f>
        <v>LinStatic</v>
      </c>
      <c r="E106" s="5">
        <f>'SAP Results'!E106</f>
        <v>0</v>
      </c>
      <c r="F106" s="5">
        <f>'SAP Results'!F106</f>
        <v>-10.212999999999999</v>
      </c>
      <c r="G106" s="5">
        <f>'SAP Results'!G106</f>
        <v>0</v>
      </c>
      <c r="H106" s="5">
        <f>'SAP Results'!H106</f>
        <v>0</v>
      </c>
      <c r="I106" s="5">
        <f>'SAP Results'!I106</f>
        <v>0</v>
      </c>
      <c r="J106" s="5">
        <f>'SAP Results'!J106</f>
        <v>-20.6768</v>
      </c>
      <c r="K106" s="6" t="str">
        <f>'SAP Results'!K106</f>
        <v>5-1</v>
      </c>
      <c r="L106" s="5">
        <f>'SAP Results'!L106</f>
        <v>5.03125</v>
      </c>
    </row>
    <row r="107" spans="1:12" ht="15.75" hidden="1" customHeight="1">
      <c r="A107" s="6" t="str">
        <f>'SAP Results'!A107</f>
        <v>5</v>
      </c>
      <c r="B107" s="5">
        <f>'SAP Results'!B107</f>
        <v>6.0374999999999996</v>
      </c>
      <c r="C107" s="5" t="str">
        <f>'SAP Results'!C107</f>
        <v>G-1</v>
      </c>
      <c r="D107" s="5" t="str">
        <f>'SAP Results'!D107</f>
        <v>LinStatic</v>
      </c>
      <c r="E107" s="5">
        <f>'SAP Results'!E107</f>
        <v>0</v>
      </c>
      <c r="F107" s="5">
        <f>'SAP Results'!F107</f>
        <v>-10.212999999999999</v>
      </c>
      <c r="G107" s="5">
        <f>'SAP Results'!G107</f>
        <v>0</v>
      </c>
      <c r="H107" s="5">
        <f>'SAP Results'!H107</f>
        <v>0</v>
      </c>
      <c r="I107" s="5">
        <f>'SAP Results'!I107</f>
        <v>0</v>
      </c>
      <c r="J107" s="5">
        <f>'SAP Results'!J107</f>
        <v>-10.399800000000001</v>
      </c>
      <c r="K107" s="6" t="str">
        <f>'SAP Results'!K107</f>
        <v>5-1</v>
      </c>
      <c r="L107" s="5">
        <f>'SAP Results'!L107</f>
        <v>6.0374999999999996</v>
      </c>
    </row>
    <row r="108" spans="1:12" ht="15.75" hidden="1" customHeight="1">
      <c r="A108" s="6" t="str">
        <f>'SAP Results'!A108</f>
        <v>5</v>
      </c>
      <c r="B108" s="5">
        <f>'SAP Results'!B108</f>
        <v>7.0437500000000002</v>
      </c>
      <c r="C108" s="5" t="str">
        <f>'SAP Results'!C108</f>
        <v>G-1</v>
      </c>
      <c r="D108" s="5" t="str">
        <f>'SAP Results'!D108</f>
        <v>LinStatic</v>
      </c>
      <c r="E108" s="5">
        <f>'SAP Results'!E108</f>
        <v>0</v>
      </c>
      <c r="F108" s="5">
        <f>'SAP Results'!F108</f>
        <v>-10.212999999999999</v>
      </c>
      <c r="G108" s="5">
        <f>'SAP Results'!G108</f>
        <v>0</v>
      </c>
      <c r="H108" s="5">
        <f>'SAP Results'!H108</f>
        <v>0</v>
      </c>
      <c r="I108" s="5">
        <f>'SAP Results'!I108</f>
        <v>0</v>
      </c>
      <c r="J108" s="5">
        <f>'SAP Results'!J108</f>
        <v>-0.1227</v>
      </c>
      <c r="K108" s="6" t="str">
        <f>'SAP Results'!K108</f>
        <v>5-1</v>
      </c>
      <c r="L108" s="5">
        <f>'SAP Results'!L108</f>
        <v>7.0437500000000002</v>
      </c>
    </row>
    <row r="109" spans="1:12" ht="15.75" hidden="1" customHeight="1">
      <c r="A109" s="6" t="str">
        <f>'SAP Results'!A109</f>
        <v>5</v>
      </c>
      <c r="B109" s="5">
        <f>'SAP Results'!B109</f>
        <v>8.0500000000000007</v>
      </c>
      <c r="C109" s="5" t="str">
        <f>'SAP Results'!C109</f>
        <v>G-1</v>
      </c>
      <c r="D109" s="5" t="str">
        <f>'SAP Results'!D109</f>
        <v>LinStatic</v>
      </c>
      <c r="E109" s="5">
        <f>'SAP Results'!E109</f>
        <v>0</v>
      </c>
      <c r="F109" s="5">
        <f>'SAP Results'!F109</f>
        <v>-10.212999999999999</v>
      </c>
      <c r="G109" s="5">
        <f>'SAP Results'!G109</f>
        <v>0</v>
      </c>
      <c r="H109" s="5">
        <f>'SAP Results'!H109</f>
        <v>0</v>
      </c>
      <c r="I109" s="5">
        <f>'SAP Results'!I109</f>
        <v>0</v>
      </c>
      <c r="J109" s="5">
        <f>'SAP Results'!J109</f>
        <v>10.154299999999999</v>
      </c>
      <c r="K109" s="6" t="str">
        <f>'SAP Results'!K109</f>
        <v>5-1</v>
      </c>
      <c r="L109" s="5">
        <f>'SAP Results'!L109</f>
        <v>8.0500000000000007</v>
      </c>
    </row>
    <row r="110" spans="1:12" ht="15.75" hidden="1" customHeight="1">
      <c r="A110" s="6" t="str">
        <f>'SAP Results'!A110</f>
        <v>5</v>
      </c>
      <c r="B110" s="5">
        <f>'SAP Results'!B110</f>
        <v>0</v>
      </c>
      <c r="C110" s="5" t="str">
        <f>'SAP Results'!C110</f>
        <v>G-2</v>
      </c>
      <c r="D110" s="5" t="str">
        <f>'SAP Results'!D110</f>
        <v>LinStatic</v>
      </c>
      <c r="E110" s="5">
        <f>'SAP Results'!E110</f>
        <v>0</v>
      </c>
      <c r="F110" s="5">
        <f>'SAP Results'!F110</f>
        <v>-168.333</v>
      </c>
      <c r="G110" s="5">
        <f>'SAP Results'!G110</f>
        <v>0</v>
      </c>
      <c r="H110" s="5">
        <f>'SAP Results'!H110</f>
        <v>0</v>
      </c>
      <c r="I110" s="5">
        <f>'SAP Results'!I110</f>
        <v>0</v>
      </c>
      <c r="J110" s="5">
        <f>'SAP Results'!J110</f>
        <v>-187.4752</v>
      </c>
      <c r="K110" s="6" t="str">
        <f>'SAP Results'!K110</f>
        <v>5-1</v>
      </c>
      <c r="L110" s="5">
        <f>'SAP Results'!L110</f>
        <v>0</v>
      </c>
    </row>
    <row r="111" spans="1:12" ht="15.75" hidden="1" customHeight="1">
      <c r="A111" s="6" t="str">
        <f>'SAP Results'!A111</f>
        <v>5</v>
      </c>
      <c r="B111" s="5">
        <f>'SAP Results'!B111</f>
        <v>1.0062500000000001</v>
      </c>
      <c r="C111" s="5" t="str">
        <f>'SAP Results'!C111</f>
        <v>G-2</v>
      </c>
      <c r="D111" s="5" t="str">
        <f>'SAP Results'!D111</f>
        <v>LinStatic</v>
      </c>
      <c r="E111" s="5">
        <f>'SAP Results'!E111</f>
        <v>0</v>
      </c>
      <c r="F111" s="5">
        <f>'SAP Results'!F111</f>
        <v>-128.19300000000001</v>
      </c>
      <c r="G111" s="5">
        <f>'SAP Results'!G111</f>
        <v>0</v>
      </c>
      <c r="H111" s="5">
        <f>'SAP Results'!H111</f>
        <v>0</v>
      </c>
      <c r="I111" s="5">
        <f>'SAP Results'!I111</f>
        <v>0</v>
      </c>
      <c r="J111" s="5">
        <f>'SAP Results'!J111</f>
        <v>-38.285499999999999</v>
      </c>
      <c r="K111" s="6" t="str">
        <f>'SAP Results'!K111</f>
        <v>5-1</v>
      </c>
      <c r="L111" s="5">
        <f>'SAP Results'!L111</f>
        <v>1.0062500000000001</v>
      </c>
    </row>
    <row r="112" spans="1:12" ht="15.75" hidden="1" customHeight="1">
      <c r="A112" s="6" t="str">
        <f>'SAP Results'!A112</f>
        <v>5</v>
      </c>
      <c r="B112" s="5">
        <f>'SAP Results'!B112</f>
        <v>2.0125000000000002</v>
      </c>
      <c r="C112" s="5" t="str">
        <f>'SAP Results'!C112</f>
        <v>G-2</v>
      </c>
      <c r="D112" s="5" t="str">
        <f>'SAP Results'!D112</f>
        <v>LinStatic</v>
      </c>
      <c r="E112" s="5">
        <f>'SAP Results'!E112</f>
        <v>0</v>
      </c>
      <c r="F112" s="5">
        <f>'SAP Results'!F112</f>
        <v>-88.054000000000002</v>
      </c>
      <c r="G112" s="5">
        <f>'SAP Results'!G112</f>
        <v>0</v>
      </c>
      <c r="H112" s="5">
        <f>'SAP Results'!H112</f>
        <v>0</v>
      </c>
      <c r="I112" s="5">
        <f>'SAP Results'!I112</f>
        <v>0</v>
      </c>
      <c r="J112" s="5">
        <f>'SAP Results'!J112</f>
        <v>70.514099999999999</v>
      </c>
      <c r="K112" s="6" t="str">
        <f>'SAP Results'!K112</f>
        <v>5-1</v>
      </c>
      <c r="L112" s="5">
        <f>'SAP Results'!L112</f>
        <v>2.0125000000000002</v>
      </c>
    </row>
    <row r="113" spans="1:12" ht="15.75" hidden="1" customHeight="1">
      <c r="A113" s="6" t="str">
        <f>'SAP Results'!A113</f>
        <v>5</v>
      </c>
      <c r="B113" s="5">
        <f>'SAP Results'!B113</f>
        <v>3.0187499999999998</v>
      </c>
      <c r="C113" s="5" t="str">
        <f>'SAP Results'!C113</f>
        <v>G-2</v>
      </c>
      <c r="D113" s="5" t="str">
        <f>'SAP Results'!D113</f>
        <v>LinStatic</v>
      </c>
      <c r="E113" s="5">
        <f>'SAP Results'!E113</f>
        <v>0</v>
      </c>
      <c r="F113" s="5">
        <f>'SAP Results'!F113</f>
        <v>-47.914999999999999</v>
      </c>
      <c r="G113" s="5">
        <f>'SAP Results'!G113</f>
        <v>0</v>
      </c>
      <c r="H113" s="5">
        <f>'SAP Results'!H113</f>
        <v>0</v>
      </c>
      <c r="I113" s="5">
        <f>'SAP Results'!I113</f>
        <v>0</v>
      </c>
      <c r="J113" s="5">
        <f>'SAP Results'!J113</f>
        <v>138.92349999999999</v>
      </c>
      <c r="K113" s="6" t="str">
        <f>'SAP Results'!K113</f>
        <v>5-1</v>
      </c>
      <c r="L113" s="5">
        <f>'SAP Results'!L113</f>
        <v>3.0187499999999998</v>
      </c>
    </row>
    <row r="114" spans="1:12" ht="15.75" hidden="1" customHeight="1">
      <c r="A114" s="6" t="str">
        <f>'SAP Results'!A114</f>
        <v>5</v>
      </c>
      <c r="B114" s="5">
        <f>'SAP Results'!B114</f>
        <v>4.0250000000000004</v>
      </c>
      <c r="C114" s="5" t="str">
        <f>'SAP Results'!C114</f>
        <v>G-2</v>
      </c>
      <c r="D114" s="5" t="str">
        <f>'SAP Results'!D114</f>
        <v>LinStatic</v>
      </c>
      <c r="E114" s="5">
        <f>'SAP Results'!E114</f>
        <v>0</v>
      </c>
      <c r="F114" s="5">
        <f>'SAP Results'!F114</f>
        <v>-7.7759999999999998</v>
      </c>
      <c r="G114" s="5">
        <f>'SAP Results'!G114</f>
        <v>0</v>
      </c>
      <c r="H114" s="5">
        <f>'SAP Results'!H114</f>
        <v>0</v>
      </c>
      <c r="I114" s="5">
        <f>'SAP Results'!I114</f>
        <v>0</v>
      </c>
      <c r="J114" s="5">
        <f>'SAP Results'!J114</f>
        <v>166.9427</v>
      </c>
      <c r="K114" s="6" t="str">
        <f>'SAP Results'!K114</f>
        <v>5-1</v>
      </c>
      <c r="L114" s="5">
        <f>'SAP Results'!L114</f>
        <v>4.0250000000000004</v>
      </c>
    </row>
    <row r="115" spans="1:12" ht="15.75" hidden="1" customHeight="1">
      <c r="A115" s="6" t="str">
        <f>'SAP Results'!A115</f>
        <v>5</v>
      </c>
      <c r="B115" s="5">
        <f>'SAP Results'!B115</f>
        <v>5.03125</v>
      </c>
      <c r="C115" s="5" t="str">
        <f>'SAP Results'!C115</f>
        <v>G-2</v>
      </c>
      <c r="D115" s="5" t="str">
        <f>'SAP Results'!D115</f>
        <v>LinStatic</v>
      </c>
      <c r="E115" s="5">
        <f>'SAP Results'!E115</f>
        <v>0</v>
      </c>
      <c r="F115" s="5">
        <f>'SAP Results'!F115</f>
        <v>32.363999999999997</v>
      </c>
      <c r="G115" s="5">
        <f>'SAP Results'!G115</f>
        <v>0</v>
      </c>
      <c r="H115" s="5">
        <f>'SAP Results'!H115</f>
        <v>0</v>
      </c>
      <c r="I115" s="5">
        <f>'SAP Results'!I115</f>
        <v>0</v>
      </c>
      <c r="J115" s="5">
        <f>'SAP Results'!J115</f>
        <v>154.5718</v>
      </c>
      <c r="K115" s="6" t="str">
        <f>'SAP Results'!K115</f>
        <v>5-1</v>
      </c>
      <c r="L115" s="5">
        <f>'SAP Results'!L115</f>
        <v>5.03125</v>
      </c>
    </row>
    <row r="116" spans="1:12" ht="15.75" hidden="1" customHeight="1">
      <c r="A116" s="6" t="str">
        <f>'SAP Results'!A116</f>
        <v>5</v>
      </c>
      <c r="B116" s="5">
        <f>'SAP Results'!B116</f>
        <v>6.0374999999999996</v>
      </c>
      <c r="C116" s="5" t="str">
        <f>'SAP Results'!C116</f>
        <v>G-2</v>
      </c>
      <c r="D116" s="5" t="str">
        <f>'SAP Results'!D116</f>
        <v>LinStatic</v>
      </c>
      <c r="E116" s="5">
        <f>'SAP Results'!E116</f>
        <v>0</v>
      </c>
      <c r="F116" s="5">
        <f>'SAP Results'!F116</f>
        <v>72.503</v>
      </c>
      <c r="G116" s="5">
        <f>'SAP Results'!G116</f>
        <v>0</v>
      </c>
      <c r="H116" s="5">
        <f>'SAP Results'!H116</f>
        <v>0</v>
      </c>
      <c r="I116" s="5">
        <f>'SAP Results'!I116</f>
        <v>0</v>
      </c>
      <c r="J116" s="5">
        <f>'SAP Results'!J116</f>
        <v>101.81059999999999</v>
      </c>
      <c r="K116" s="6" t="str">
        <f>'SAP Results'!K116</f>
        <v>5-1</v>
      </c>
      <c r="L116" s="5">
        <f>'SAP Results'!L116</f>
        <v>6.0374999999999996</v>
      </c>
    </row>
    <row r="117" spans="1:12" ht="15.75" hidden="1" customHeight="1">
      <c r="A117" s="6" t="str">
        <f>'SAP Results'!A117</f>
        <v>5</v>
      </c>
      <c r="B117" s="5">
        <f>'SAP Results'!B117</f>
        <v>7.0437500000000002</v>
      </c>
      <c r="C117" s="5" t="str">
        <f>'SAP Results'!C117</f>
        <v>G-2</v>
      </c>
      <c r="D117" s="5" t="str">
        <f>'SAP Results'!D117</f>
        <v>LinStatic</v>
      </c>
      <c r="E117" s="5">
        <f>'SAP Results'!E117</f>
        <v>0</v>
      </c>
      <c r="F117" s="5">
        <f>'SAP Results'!F117</f>
        <v>112.642</v>
      </c>
      <c r="G117" s="5">
        <f>'SAP Results'!G117</f>
        <v>0</v>
      </c>
      <c r="H117" s="5">
        <f>'SAP Results'!H117</f>
        <v>0</v>
      </c>
      <c r="I117" s="5">
        <f>'SAP Results'!I117</f>
        <v>0</v>
      </c>
      <c r="J117" s="5">
        <f>'SAP Results'!J117</f>
        <v>8.6593</v>
      </c>
      <c r="K117" s="6" t="str">
        <f>'SAP Results'!K117</f>
        <v>5-1</v>
      </c>
      <c r="L117" s="5">
        <f>'SAP Results'!L117</f>
        <v>7.0437500000000002</v>
      </c>
    </row>
    <row r="118" spans="1:12" ht="15.75" hidden="1" customHeight="1">
      <c r="A118" s="6" t="str">
        <f>'SAP Results'!A118</f>
        <v>5</v>
      </c>
      <c r="B118" s="5">
        <f>'SAP Results'!B118</f>
        <v>8.0500000000000007</v>
      </c>
      <c r="C118" s="5" t="str">
        <f>'SAP Results'!C118</f>
        <v>G-2</v>
      </c>
      <c r="D118" s="5" t="str">
        <f>'SAP Results'!D118</f>
        <v>LinStatic</v>
      </c>
      <c r="E118" s="5">
        <f>'SAP Results'!E118</f>
        <v>0</v>
      </c>
      <c r="F118" s="5">
        <f>'SAP Results'!F118</f>
        <v>152.78200000000001</v>
      </c>
      <c r="G118" s="5">
        <f>'SAP Results'!G118</f>
        <v>0</v>
      </c>
      <c r="H118" s="5">
        <f>'SAP Results'!H118</f>
        <v>0</v>
      </c>
      <c r="I118" s="5">
        <f>'SAP Results'!I118</f>
        <v>0</v>
      </c>
      <c r="J118" s="5">
        <f>'SAP Results'!J118</f>
        <v>-124.8822</v>
      </c>
      <c r="K118" s="6" t="str">
        <f>'SAP Results'!K118</f>
        <v>5-1</v>
      </c>
      <c r="L118" s="5">
        <f>'SAP Results'!L118</f>
        <v>8.0500000000000007</v>
      </c>
    </row>
    <row r="119" spans="1:12" ht="15.75" hidden="1" customHeight="1">
      <c r="A119" s="6" t="str">
        <f>'SAP Results'!A119</f>
        <v>5</v>
      </c>
      <c r="B119" s="5">
        <f>'SAP Results'!B119</f>
        <v>0</v>
      </c>
      <c r="C119" s="5" t="str">
        <f>'SAP Results'!C119</f>
        <v>Q-1</v>
      </c>
      <c r="D119" s="5" t="str">
        <f>'SAP Results'!D119</f>
        <v>LinStatic</v>
      </c>
      <c r="E119" s="5">
        <f>'SAP Results'!E119</f>
        <v>0</v>
      </c>
      <c r="F119" s="5">
        <f>'SAP Results'!F119</f>
        <v>-5.1529999999999996</v>
      </c>
      <c r="G119" s="5">
        <f>'SAP Results'!G119</f>
        <v>0</v>
      </c>
      <c r="H119" s="5">
        <f>'SAP Results'!H119</f>
        <v>0</v>
      </c>
      <c r="I119" s="5">
        <f>'SAP Results'!I119</f>
        <v>0</v>
      </c>
      <c r="J119" s="5">
        <f>'SAP Results'!J119</f>
        <v>-36.356200000000001</v>
      </c>
      <c r="K119" s="6" t="str">
        <f>'SAP Results'!K119</f>
        <v>5-1</v>
      </c>
      <c r="L119" s="5">
        <f>'SAP Results'!L119</f>
        <v>0</v>
      </c>
    </row>
    <row r="120" spans="1:12" ht="15.75" hidden="1" customHeight="1">
      <c r="A120" s="6" t="str">
        <f>'SAP Results'!A120</f>
        <v>5</v>
      </c>
      <c r="B120" s="5">
        <f>'SAP Results'!B120</f>
        <v>1.0062500000000001</v>
      </c>
      <c r="C120" s="5" t="str">
        <f>'SAP Results'!C120</f>
        <v>Q-1</v>
      </c>
      <c r="D120" s="5" t="str">
        <f>'SAP Results'!D120</f>
        <v>LinStatic</v>
      </c>
      <c r="E120" s="5">
        <f>'SAP Results'!E120</f>
        <v>0</v>
      </c>
      <c r="F120" s="5">
        <f>'SAP Results'!F120</f>
        <v>-5.1529999999999996</v>
      </c>
      <c r="G120" s="5">
        <f>'SAP Results'!G120</f>
        <v>0</v>
      </c>
      <c r="H120" s="5">
        <f>'SAP Results'!H120</f>
        <v>0</v>
      </c>
      <c r="I120" s="5">
        <f>'SAP Results'!I120</f>
        <v>0</v>
      </c>
      <c r="J120" s="5">
        <f>'SAP Results'!J120</f>
        <v>-31.171299999999999</v>
      </c>
      <c r="K120" s="6" t="str">
        <f>'SAP Results'!K120</f>
        <v>5-1</v>
      </c>
      <c r="L120" s="5">
        <f>'SAP Results'!L120</f>
        <v>1.0062500000000001</v>
      </c>
    </row>
    <row r="121" spans="1:12" ht="15.75" hidden="1" customHeight="1">
      <c r="A121" s="6" t="str">
        <f>'SAP Results'!A121</f>
        <v>5</v>
      </c>
      <c r="B121" s="5">
        <f>'SAP Results'!B121</f>
        <v>2.0125000000000002</v>
      </c>
      <c r="C121" s="5" t="str">
        <f>'SAP Results'!C121</f>
        <v>Q-1</v>
      </c>
      <c r="D121" s="5" t="str">
        <f>'SAP Results'!D121</f>
        <v>LinStatic</v>
      </c>
      <c r="E121" s="5">
        <f>'SAP Results'!E121</f>
        <v>0</v>
      </c>
      <c r="F121" s="5">
        <f>'SAP Results'!F121</f>
        <v>-5.1529999999999996</v>
      </c>
      <c r="G121" s="5">
        <f>'SAP Results'!G121</f>
        <v>0</v>
      </c>
      <c r="H121" s="5">
        <f>'SAP Results'!H121</f>
        <v>0</v>
      </c>
      <c r="I121" s="5">
        <f>'SAP Results'!I121</f>
        <v>0</v>
      </c>
      <c r="J121" s="5">
        <f>'SAP Results'!J121</f>
        <v>-25.9864</v>
      </c>
      <c r="K121" s="6" t="str">
        <f>'SAP Results'!K121</f>
        <v>5-1</v>
      </c>
      <c r="L121" s="5">
        <f>'SAP Results'!L121</f>
        <v>2.0125000000000002</v>
      </c>
    </row>
    <row r="122" spans="1:12" ht="15.75" hidden="1" customHeight="1">
      <c r="A122" s="6" t="str">
        <f>'SAP Results'!A122</f>
        <v>5</v>
      </c>
      <c r="B122" s="5">
        <f>'SAP Results'!B122</f>
        <v>3.0187499999999998</v>
      </c>
      <c r="C122" s="5" t="str">
        <f>'SAP Results'!C122</f>
        <v>Q-1</v>
      </c>
      <c r="D122" s="5" t="str">
        <f>'SAP Results'!D122</f>
        <v>LinStatic</v>
      </c>
      <c r="E122" s="5">
        <f>'SAP Results'!E122</f>
        <v>0</v>
      </c>
      <c r="F122" s="5">
        <f>'SAP Results'!F122</f>
        <v>-5.1529999999999996</v>
      </c>
      <c r="G122" s="5">
        <f>'SAP Results'!G122</f>
        <v>0</v>
      </c>
      <c r="H122" s="5">
        <f>'SAP Results'!H122</f>
        <v>0</v>
      </c>
      <c r="I122" s="5">
        <f>'SAP Results'!I122</f>
        <v>0</v>
      </c>
      <c r="J122" s="5">
        <f>'SAP Results'!J122</f>
        <v>-20.801500000000001</v>
      </c>
      <c r="K122" s="6" t="str">
        <f>'SAP Results'!K122</f>
        <v>5-1</v>
      </c>
      <c r="L122" s="5">
        <f>'SAP Results'!L122</f>
        <v>3.0187499999999998</v>
      </c>
    </row>
    <row r="123" spans="1:12" ht="15.75" hidden="1" customHeight="1">
      <c r="A123" s="6" t="str">
        <f>'SAP Results'!A123</f>
        <v>5</v>
      </c>
      <c r="B123" s="5">
        <f>'SAP Results'!B123</f>
        <v>4.0250000000000004</v>
      </c>
      <c r="C123" s="5" t="str">
        <f>'SAP Results'!C123</f>
        <v>Q-1</v>
      </c>
      <c r="D123" s="5" t="str">
        <f>'SAP Results'!D123</f>
        <v>LinStatic</v>
      </c>
      <c r="E123" s="5">
        <f>'SAP Results'!E123</f>
        <v>0</v>
      </c>
      <c r="F123" s="5">
        <f>'SAP Results'!F123</f>
        <v>-5.1529999999999996</v>
      </c>
      <c r="G123" s="5">
        <f>'SAP Results'!G123</f>
        <v>0</v>
      </c>
      <c r="H123" s="5">
        <f>'SAP Results'!H123</f>
        <v>0</v>
      </c>
      <c r="I123" s="5">
        <f>'SAP Results'!I123</f>
        <v>0</v>
      </c>
      <c r="J123" s="5">
        <f>'SAP Results'!J123</f>
        <v>-15.6166</v>
      </c>
      <c r="K123" s="6" t="str">
        <f>'SAP Results'!K123</f>
        <v>5-1</v>
      </c>
      <c r="L123" s="5">
        <f>'SAP Results'!L123</f>
        <v>4.0250000000000004</v>
      </c>
    </row>
    <row r="124" spans="1:12" ht="15.75" hidden="1" customHeight="1">
      <c r="A124" s="6" t="str">
        <f>'SAP Results'!A124</f>
        <v>5</v>
      </c>
      <c r="B124" s="5">
        <f>'SAP Results'!B124</f>
        <v>5.03125</v>
      </c>
      <c r="C124" s="5" t="str">
        <f>'SAP Results'!C124</f>
        <v>Q-1</v>
      </c>
      <c r="D124" s="5" t="str">
        <f>'SAP Results'!D124</f>
        <v>LinStatic</v>
      </c>
      <c r="E124" s="5">
        <f>'SAP Results'!E124</f>
        <v>0</v>
      </c>
      <c r="F124" s="5">
        <f>'SAP Results'!F124</f>
        <v>-5.1529999999999996</v>
      </c>
      <c r="G124" s="5">
        <f>'SAP Results'!G124</f>
        <v>0</v>
      </c>
      <c r="H124" s="5">
        <f>'SAP Results'!H124</f>
        <v>0</v>
      </c>
      <c r="I124" s="5">
        <f>'SAP Results'!I124</f>
        <v>0</v>
      </c>
      <c r="J124" s="5">
        <f>'SAP Results'!J124</f>
        <v>-10.431699999999999</v>
      </c>
      <c r="K124" s="6" t="str">
        <f>'SAP Results'!K124</f>
        <v>5-1</v>
      </c>
      <c r="L124" s="5">
        <f>'SAP Results'!L124</f>
        <v>5.03125</v>
      </c>
    </row>
    <row r="125" spans="1:12" ht="15.75" hidden="1" customHeight="1">
      <c r="A125" s="6" t="str">
        <f>'SAP Results'!A125</f>
        <v>5</v>
      </c>
      <c r="B125" s="5">
        <f>'SAP Results'!B125</f>
        <v>6.0374999999999996</v>
      </c>
      <c r="C125" s="5" t="str">
        <f>'SAP Results'!C125</f>
        <v>Q-1</v>
      </c>
      <c r="D125" s="5" t="str">
        <f>'SAP Results'!D125</f>
        <v>LinStatic</v>
      </c>
      <c r="E125" s="5">
        <f>'SAP Results'!E125</f>
        <v>0</v>
      </c>
      <c r="F125" s="5">
        <f>'SAP Results'!F125</f>
        <v>-5.1529999999999996</v>
      </c>
      <c r="G125" s="5">
        <f>'SAP Results'!G125</f>
        <v>0</v>
      </c>
      <c r="H125" s="5">
        <f>'SAP Results'!H125</f>
        <v>0</v>
      </c>
      <c r="I125" s="5">
        <f>'SAP Results'!I125</f>
        <v>0</v>
      </c>
      <c r="J125" s="5">
        <f>'SAP Results'!J125</f>
        <v>-5.2468000000000004</v>
      </c>
      <c r="K125" s="6" t="str">
        <f>'SAP Results'!K125</f>
        <v>5-1</v>
      </c>
      <c r="L125" s="5">
        <f>'SAP Results'!L125</f>
        <v>6.0374999999999996</v>
      </c>
    </row>
    <row r="126" spans="1:12" ht="15.75" hidden="1" customHeight="1">
      <c r="A126" s="6" t="str">
        <f>'SAP Results'!A126</f>
        <v>5</v>
      </c>
      <c r="B126" s="5">
        <f>'SAP Results'!B126</f>
        <v>7.0437500000000002</v>
      </c>
      <c r="C126" s="5" t="str">
        <f>'SAP Results'!C126</f>
        <v>Q-1</v>
      </c>
      <c r="D126" s="5" t="str">
        <f>'SAP Results'!D126</f>
        <v>LinStatic</v>
      </c>
      <c r="E126" s="5">
        <f>'SAP Results'!E126</f>
        <v>0</v>
      </c>
      <c r="F126" s="5">
        <f>'SAP Results'!F126</f>
        <v>-5.1529999999999996</v>
      </c>
      <c r="G126" s="5">
        <f>'SAP Results'!G126</f>
        <v>0</v>
      </c>
      <c r="H126" s="5">
        <f>'SAP Results'!H126</f>
        <v>0</v>
      </c>
      <c r="I126" s="5">
        <f>'SAP Results'!I126</f>
        <v>0</v>
      </c>
      <c r="J126" s="5">
        <f>'SAP Results'!J126</f>
        <v>-6.1899999999999997E-2</v>
      </c>
      <c r="K126" s="6" t="str">
        <f>'SAP Results'!K126</f>
        <v>5-1</v>
      </c>
      <c r="L126" s="5">
        <f>'SAP Results'!L126</f>
        <v>7.0437500000000002</v>
      </c>
    </row>
    <row r="127" spans="1:12" ht="15.75" hidden="1" customHeight="1">
      <c r="A127" s="6" t="str">
        <f>'SAP Results'!A127</f>
        <v>5</v>
      </c>
      <c r="B127" s="5">
        <f>'SAP Results'!B127</f>
        <v>8.0500000000000007</v>
      </c>
      <c r="C127" s="5" t="str">
        <f>'SAP Results'!C127</f>
        <v>Q-1</v>
      </c>
      <c r="D127" s="5" t="str">
        <f>'SAP Results'!D127</f>
        <v>LinStatic</v>
      </c>
      <c r="E127" s="5">
        <f>'SAP Results'!E127</f>
        <v>0</v>
      </c>
      <c r="F127" s="5">
        <f>'SAP Results'!F127</f>
        <v>-5.1529999999999996</v>
      </c>
      <c r="G127" s="5">
        <f>'SAP Results'!G127</f>
        <v>0</v>
      </c>
      <c r="H127" s="5">
        <f>'SAP Results'!H127</f>
        <v>0</v>
      </c>
      <c r="I127" s="5">
        <f>'SAP Results'!I127</f>
        <v>0</v>
      </c>
      <c r="J127" s="5">
        <f>'SAP Results'!J127</f>
        <v>5.1230000000000002</v>
      </c>
      <c r="K127" s="6" t="str">
        <f>'SAP Results'!K127</f>
        <v>5-1</v>
      </c>
      <c r="L127" s="5">
        <f>'SAP Results'!L127</f>
        <v>8.0500000000000007</v>
      </c>
    </row>
    <row r="128" spans="1:12" ht="15.75" customHeight="1">
      <c r="A128" s="6" t="str">
        <f>'SAP Results'!A128</f>
        <v>5</v>
      </c>
      <c r="B128" s="5">
        <f>'SAP Results'!B128</f>
        <v>0</v>
      </c>
      <c r="C128" s="5" t="str">
        <f>'SAP Results'!C128</f>
        <v>Q-2</v>
      </c>
      <c r="D128" s="5" t="str">
        <f>'SAP Results'!D128</f>
        <v>LinStatic</v>
      </c>
      <c r="E128" s="5">
        <f>'SAP Results'!E128</f>
        <v>0</v>
      </c>
      <c r="F128" s="5">
        <f>'SAP Results'!F128</f>
        <v>-84.926000000000002</v>
      </c>
      <c r="G128" s="5">
        <f>'SAP Results'!G128</f>
        <v>0</v>
      </c>
      <c r="H128" s="5">
        <f>'SAP Results'!H128</f>
        <v>0</v>
      </c>
      <c r="I128" s="5">
        <f>'SAP Results'!I128</f>
        <v>0</v>
      </c>
      <c r="J128" s="5">
        <f>'SAP Results'!J128</f>
        <v>-94.583600000000004</v>
      </c>
      <c r="K128" s="6" t="str">
        <f>'SAP Results'!K128</f>
        <v>5-1</v>
      </c>
      <c r="L128" s="5">
        <f>'SAP Results'!L128</f>
        <v>0</v>
      </c>
    </row>
    <row r="129" spans="1:12" ht="15.75" customHeight="1">
      <c r="A129" s="6" t="str">
        <f>'SAP Results'!A129</f>
        <v>5</v>
      </c>
      <c r="B129" s="5">
        <f>'SAP Results'!B129</f>
        <v>1.0062500000000001</v>
      </c>
      <c r="C129" s="5" t="str">
        <f>'SAP Results'!C129</f>
        <v>Q-2</v>
      </c>
      <c r="D129" s="5" t="str">
        <f>'SAP Results'!D129</f>
        <v>LinStatic</v>
      </c>
      <c r="E129" s="5">
        <f>'SAP Results'!E129</f>
        <v>0</v>
      </c>
      <c r="F129" s="5">
        <f>'SAP Results'!F129</f>
        <v>-64.674999999999997</v>
      </c>
      <c r="G129" s="5">
        <f>'SAP Results'!G129</f>
        <v>0</v>
      </c>
      <c r="H129" s="5">
        <f>'SAP Results'!H129</f>
        <v>0</v>
      </c>
      <c r="I129" s="5">
        <f>'SAP Results'!I129</f>
        <v>0</v>
      </c>
      <c r="J129" s="5">
        <f>'SAP Results'!J129</f>
        <v>-19.3155</v>
      </c>
      <c r="K129" s="6" t="str">
        <f>'SAP Results'!K129</f>
        <v>5-1</v>
      </c>
      <c r="L129" s="5">
        <f>'SAP Results'!L129</f>
        <v>1.0062500000000001</v>
      </c>
    </row>
    <row r="130" spans="1:12" ht="15.75" customHeight="1">
      <c r="A130" s="6" t="str">
        <f>'SAP Results'!A130</f>
        <v>5</v>
      </c>
      <c r="B130" s="5">
        <f>'SAP Results'!B130</f>
        <v>2.0125000000000002</v>
      </c>
      <c r="C130" s="5" t="str">
        <f>'SAP Results'!C130</f>
        <v>Q-2</v>
      </c>
      <c r="D130" s="5" t="str">
        <f>'SAP Results'!D130</f>
        <v>LinStatic</v>
      </c>
      <c r="E130" s="5">
        <f>'SAP Results'!E130</f>
        <v>0</v>
      </c>
      <c r="F130" s="5">
        <f>'SAP Results'!F130</f>
        <v>-44.423999999999999</v>
      </c>
      <c r="G130" s="5">
        <f>'SAP Results'!G130</f>
        <v>0</v>
      </c>
      <c r="H130" s="5">
        <f>'SAP Results'!H130</f>
        <v>0</v>
      </c>
      <c r="I130" s="5">
        <f>'SAP Results'!I130</f>
        <v>0</v>
      </c>
      <c r="J130" s="5">
        <f>'SAP Results'!J130</f>
        <v>35.575299999999999</v>
      </c>
      <c r="K130" s="6" t="str">
        <f>'SAP Results'!K130</f>
        <v>5-1</v>
      </c>
      <c r="L130" s="5">
        <f>'SAP Results'!L130</f>
        <v>2.0125000000000002</v>
      </c>
    </row>
    <row r="131" spans="1:12" ht="15.75" customHeight="1">
      <c r="A131" s="6" t="str">
        <f>'SAP Results'!A131</f>
        <v>5</v>
      </c>
      <c r="B131" s="5">
        <f>'SAP Results'!B131</f>
        <v>3.0187499999999998</v>
      </c>
      <c r="C131" s="5" t="str">
        <f>'SAP Results'!C131</f>
        <v>Q-2</v>
      </c>
      <c r="D131" s="5" t="str">
        <f>'SAP Results'!D131</f>
        <v>LinStatic</v>
      </c>
      <c r="E131" s="5">
        <f>'SAP Results'!E131</f>
        <v>0</v>
      </c>
      <c r="F131" s="5">
        <f>'SAP Results'!F131</f>
        <v>-24.173999999999999</v>
      </c>
      <c r="G131" s="5">
        <f>'SAP Results'!G131</f>
        <v>0</v>
      </c>
      <c r="H131" s="5">
        <f>'SAP Results'!H131</f>
        <v>0</v>
      </c>
      <c r="I131" s="5">
        <f>'SAP Results'!I131</f>
        <v>0</v>
      </c>
      <c r="J131" s="5">
        <f>'SAP Results'!J131</f>
        <v>70.0886</v>
      </c>
      <c r="K131" s="6" t="str">
        <f>'SAP Results'!K131</f>
        <v>5-1</v>
      </c>
      <c r="L131" s="5">
        <f>'SAP Results'!L131</f>
        <v>3.0187499999999998</v>
      </c>
    </row>
    <row r="132" spans="1:12" ht="15.75" customHeight="1">
      <c r="A132" s="6" t="str">
        <f>'SAP Results'!A132</f>
        <v>5</v>
      </c>
      <c r="B132" s="5">
        <f>'SAP Results'!B132</f>
        <v>4.0250000000000004</v>
      </c>
      <c r="C132" s="5" t="str">
        <f>'SAP Results'!C132</f>
        <v>Q-2</v>
      </c>
      <c r="D132" s="5" t="str">
        <f>'SAP Results'!D132</f>
        <v>LinStatic</v>
      </c>
      <c r="E132" s="5">
        <f>'SAP Results'!E132</f>
        <v>0</v>
      </c>
      <c r="F132" s="5">
        <f>'SAP Results'!F132</f>
        <v>-3.923</v>
      </c>
      <c r="G132" s="5">
        <f>'SAP Results'!G132</f>
        <v>0</v>
      </c>
      <c r="H132" s="5">
        <f>'SAP Results'!H132</f>
        <v>0</v>
      </c>
      <c r="I132" s="5">
        <f>'SAP Results'!I132</f>
        <v>0</v>
      </c>
      <c r="J132" s="5">
        <f>'SAP Results'!J132</f>
        <v>84.224699999999999</v>
      </c>
      <c r="K132" s="6" t="str">
        <f>'SAP Results'!K132</f>
        <v>5-1</v>
      </c>
      <c r="L132" s="5">
        <f>'SAP Results'!L132</f>
        <v>4.0250000000000004</v>
      </c>
    </row>
    <row r="133" spans="1:12" ht="15.75" customHeight="1">
      <c r="A133" s="6" t="str">
        <f>'SAP Results'!A133</f>
        <v>5</v>
      </c>
      <c r="B133" s="5">
        <f>'SAP Results'!B133</f>
        <v>5.03125</v>
      </c>
      <c r="C133" s="5" t="str">
        <f>'SAP Results'!C133</f>
        <v>Q-2</v>
      </c>
      <c r="D133" s="5" t="str">
        <f>'SAP Results'!D133</f>
        <v>LinStatic</v>
      </c>
      <c r="E133" s="5">
        <f>'SAP Results'!E133</f>
        <v>0</v>
      </c>
      <c r="F133" s="5">
        <f>'SAP Results'!F133</f>
        <v>16.327999999999999</v>
      </c>
      <c r="G133" s="5">
        <f>'SAP Results'!G133</f>
        <v>0</v>
      </c>
      <c r="H133" s="5">
        <f>'SAP Results'!H133</f>
        <v>0</v>
      </c>
      <c r="I133" s="5">
        <f>'SAP Results'!I133</f>
        <v>0</v>
      </c>
      <c r="J133" s="5">
        <f>'SAP Results'!J133</f>
        <v>77.983400000000003</v>
      </c>
      <c r="K133" s="6" t="str">
        <f>'SAP Results'!K133</f>
        <v>5-1</v>
      </c>
      <c r="L133" s="5">
        <f>'SAP Results'!L133</f>
        <v>5.03125</v>
      </c>
    </row>
    <row r="134" spans="1:12" ht="15.75" customHeight="1">
      <c r="A134" s="6" t="str">
        <f>'SAP Results'!A134</f>
        <v>5</v>
      </c>
      <c r="B134" s="5">
        <f>'SAP Results'!B134</f>
        <v>6.0374999999999996</v>
      </c>
      <c r="C134" s="5" t="str">
        <f>'SAP Results'!C134</f>
        <v>Q-2</v>
      </c>
      <c r="D134" s="5" t="str">
        <f>'SAP Results'!D134</f>
        <v>LinStatic</v>
      </c>
      <c r="E134" s="5">
        <f>'SAP Results'!E134</f>
        <v>0</v>
      </c>
      <c r="F134" s="5">
        <f>'SAP Results'!F134</f>
        <v>36.579000000000001</v>
      </c>
      <c r="G134" s="5">
        <f>'SAP Results'!G134</f>
        <v>0</v>
      </c>
      <c r="H134" s="5">
        <f>'SAP Results'!H134</f>
        <v>0</v>
      </c>
      <c r="I134" s="5">
        <f>'SAP Results'!I134</f>
        <v>0</v>
      </c>
      <c r="J134" s="5">
        <f>'SAP Results'!J134</f>
        <v>51.364699999999999</v>
      </c>
      <c r="K134" s="6" t="str">
        <f>'SAP Results'!K134</f>
        <v>5-1</v>
      </c>
      <c r="L134" s="5">
        <f>'SAP Results'!L134</f>
        <v>6.0374999999999996</v>
      </c>
    </row>
    <row r="135" spans="1:12" ht="15.75" customHeight="1">
      <c r="A135" s="6" t="str">
        <f>'SAP Results'!A135</f>
        <v>5</v>
      </c>
      <c r="B135" s="5">
        <f>'SAP Results'!B135</f>
        <v>7.0437500000000002</v>
      </c>
      <c r="C135" s="5" t="str">
        <f>'SAP Results'!C135</f>
        <v>Q-2</v>
      </c>
      <c r="D135" s="5" t="str">
        <f>'SAP Results'!D135</f>
        <v>LinStatic</v>
      </c>
      <c r="E135" s="5">
        <f>'SAP Results'!E135</f>
        <v>0</v>
      </c>
      <c r="F135" s="5">
        <f>'SAP Results'!F135</f>
        <v>56.829000000000001</v>
      </c>
      <c r="G135" s="5">
        <f>'SAP Results'!G135</f>
        <v>0</v>
      </c>
      <c r="H135" s="5">
        <f>'SAP Results'!H135</f>
        <v>0</v>
      </c>
      <c r="I135" s="5">
        <f>'SAP Results'!I135</f>
        <v>0</v>
      </c>
      <c r="J135" s="5">
        <f>'SAP Results'!J135</f>
        <v>4.3686999999999996</v>
      </c>
      <c r="K135" s="6" t="str">
        <f>'SAP Results'!K135</f>
        <v>5-1</v>
      </c>
      <c r="L135" s="5">
        <f>'SAP Results'!L135</f>
        <v>7.0437500000000002</v>
      </c>
    </row>
    <row r="136" spans="1:12" ht="15.75" customHeight="1">
      <c r="A136" s="6" t="str">
        <f>'SAP Results'!A136</f>
        <v>5</v>
      </c>
      <c r="B136" s="5">
        <f>'SAP Results'!B136</f>
        <v>8.0500000000000007</v>
      </c>
      <c r="C136" s="5" t="str">
        <f>'SAP Results'!C136</f>
        <v>Q-2</v>
      </c>
      <c r="D136" s="5" t="str">
        <f>'SAP Results'!D136</f>
        <v>LinStatic</v>
      </c>
      <c r="E136" s="5">
        <f>'SAP Results'!E136</f>
        <v>0</v>
      </c>
      <c r="F136" s="5">
        <f>'SAP Results'!F136</f>
        <v>77.08</v>
      </c>
      <c r="G136" s="5">
        <f>'SAP Results'!G136</f>
        <v>0</v>
      </c>
      <c r="H136" s="5">
        <f>'SAP Results'!H136</f>
        <v>0</v>
      </c>
      <c r="I136" s="5">
        <f>'SAP Results'!I136</f>
        <v>0</v>
      </c>
      <c r="J136" s="5">
        <f>'SAP Results'!J136</f>
        <v>-63.004600000000003</v>
      </c>
      <c r="K136" s="6" t="str">
        <f>'SAP Results'!K136</f>
        <v>5-1</v>
      </c>
      <c r="L136" s="5">
        <f>'SAP Results'!L136</f>
        <v>8.0500000000000007</v>
      </c>
    </row>
    <row r="137" spans="1:12" ht="15.75" customHeight="1"/>
    <row r="138" spans="1:12" ht="15.75" customHeight="1"/>
    <row r="139" spans="1:12" ht="15.75" customHeight="1"/>
    <row r="140" spans="1:12" ht="15.75" customHeight="1"/>
    <row r="141" spans="1:12" ht="15.75" customHeight="1"/>
    <row r="142" spans="1:12" ht="15.75" customHeight="1"/>
    <row r="143" spans="1:12" ht="15.75" customHeight="1"/>
    <row r="144" spans="1:12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L136" xr:uid="{00000000-0009-0000-0000-000004000000}">
    <filterColumn colId="2">
      <filters>
        <filter val="Q-2"/>
      </filters>
    </filterColumn>
  </autoFilter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</sheetPr>
  <dimension ref="A1:L1000"/>
  <sheetViews>
    <sheetView workbookViewId="0"/>
  </sheetViews>
  <sheetFormatPr defaultColWidth="14.42578125" defaultRowHeight="15" customHeight="1"/>
  <cols>
    <col min="1" max="1" width="8.7109375" customWidth="1"/>
    <col min="2" max="2" width="9.140625" style="5" customWidth="1"/>
    <col min="3" max="4" width="8.7109375" customWidth="1"/>
    <col min="5" max="10" width="9.140625" style="5" customWidth="1"/>
    <col min="11" max="11" width="8.7109375" customWidth="1"/>
    <col min="12" max="12" width="9.140625" style="5" customWidth="1"/>
    <col min="13" max="26" width="8.7109375" customWidth="1"/>
  </cols>
  <sheetData>
    <row r="1" spans="1:12">
      <c r="A1" s="4" t="str">
        <f>'SAP Results'!A1</f>
        <v>Frame</v>
      </c>
      <c r="B1" s="5" t="str">
        <f>'SAP Results'!B1</f>
        <v>Station</v>
      </c>
      <c r="C1" s="4" t="str">
        <f>'SAP Results'!C1</f>
        <v>OutputCase</v>
      </c>
      <c r="D1" s="4" t="str">
        <f>'SAP Results'!D1</f>
        <v>CaseType</v>
      </c>
      <c r="E1" s="5" t="str">
        <f>'SAP Results'!E1</f>
        <v>P</v>
      </c>
      <c r="F1" s="5" t="str">
        <f>'SAP Results'!F1</f>
        <v>V2</v>
      </c>
      <c r="G1" s="5" t="str">
        <f>'SAP Results'!G1</f>
        <v>V3</v>
      </c>
      <c r="H1" s="5" t="str">
        <f>'SAP Results'!H1</f>
        <v>T</v>
      </c>
      <c r="I1" s="5" t="str">
        <f>'SAP Results'!I1</f>
        <v>M2</v>
      </c>
      <c r="J1" s="5" t="str">
        <f>'SAP Results'!J1</f>
        <v>M3</v>
      </c>
      <c r="K1" s="4" t="str">
        <f>'SAP Results'!K1</f>
        <v>FrameElem</v>
      </c>
      <c r="L1" s="5" t="str">
        <f>'SAP Results'!L1</f>
        <v>ElemStation</v>
      </c>
    </row>
    <row r="2" spans="1:12">
      <c r="A2" s="6" t="str">
        <f>'SAP Results'!A2</f>
        <v>1</v>
      </c>
      <c r="B2" s="5">
        <f>'SAP Results'!B2</f>
        <v>0</v>
      </c>
      <c r="C2" s="6" t="str">
        <f>'SAP Results'!C2</f>
        <v>EX</v>
      </c>
      <c r="D2" s="6" t="str">
        <f>'SAP Results'!D2</f>
        <v>LinStatic</v>
      </c>
      <c r="E2" s="5">
        <f>'SAP Results'!E2</f>
        <v>18.693999999999999</v>
      </c>
      <c r="F2" s="5">
        <f>'SAP Results'!F2</f>
        <v>40.723999999999997</v>
      </c>
      <c r="G2" s="5">
        <f>'SAP Results'!G2</f>
        <v>0</v>
      </c>
      <c r="H2" s="5">
        <f>'SAP Results'!H2</f>
        <v>0</v>
      </c>
      <c r="I2" s="5">
        <f>'SAP Results'!I2</f>
        <v>0</v>
      </c>
      <c r="J2" s="5">
        <f>'SAP Results'!J2</f>
        <v>125.8599</v>
      </c>
      <c r="K2" s="6" t="str">
        <f>'SAP Results'!K2</f>
        <v>1-1</v>
      </c>
      <c r="L2" s="5">
        <f>'SAP Results'!L2</f>
        <v>0</v>
      </c>
    </row>
    <row r="3" spans="1:12">
      <c r="A3" s="6" t="str">
        <f>'SAP Results'!A3</f>
        <v>1</v>
      </c>
      <c r="B3" s="5">
        <f>'SAP Results'!B3</f>
        <v>2.6</v>
      </c>
      <c r="C3" s="6" t="str">
        <f>'SAP Results'!C3</f>
        <v>EX</v>
      </c>
      <c r="D3" s="6" t="str">
        <f>'SAP Results'!D3</f>
        <v>LinStatic</v>
      </c>
      <c r="E3" s="5">
        <f>'SAP Results'!E3</f>
        <v>18.693999999999999</v>
      </c>
      <c r="F3" s="5">
        <f>'SAP Results'!F3</f>
        <v>40.723999999999997</v>
      </c>
      <c r="G3" s="5">
        <f>'SAP Results'!G3</f>
        <v>0</v>
      </c>
      <c r="H3" s="5">
        <f>'SAP Results'!H3</f>
        <v>0</v>
      </c>
      <c r="I3" s="5">
        <f>'SAP Results'!I3</f>
        <v>0</v>
      </c>
      <c r="J3" s="5">
        <f>'SAP Results'!J3</f>
        <v>19.977599999999999</v>
      </c>
      <c r="K3" s="6" t="str">
        <f>'SAP Results'!K3</f>
        <v>1-1</v>
      </c>
      <c r="L3" s="5">
        <f>'SAP Results'!L3</f>
        <v>2.6</v>
      </c>
    </row>
    <row r="4" spans="1:12">
      <c r="A4" s="6" t="str">
        <f>'SAP Results'!A4</f>
        <v>1</v>
      </c>
      <c r="B4" s="5">
        <f>'SAP Results'!B4</f>
        <v>5.2</v>
      </c>
      <c r="C4" s="6" t="str">
        <f>'SAP Results'!C4</f>
        <v>EX</v>
      </c>
      <c r="D4" s="6" t="str">
        <f>'SAP Results'!D4</f>
        <v>LinStatic</v>
      </c>
      <c r="E4" s="5">
        <f>'SAP Results'!E4</f>
        <v>18.693999999999999</v>
      </c>
      <c r="F4" s="5">
        <f>'SAP Results'!F4</f>
        <v>40.723999999999997</v>
      </c>
      <c r="G4" s="5">
        <f>'SAP Results'!G4</f>
        <v>0</v>
      </c>
      <c r="H4" s="5">
        <f>'SAP Results'!H4</f>
        <v>0</v>
      </c>
      <c r="I4" s="5">
        <f>'SAP Results'!I4</f>
        <v>0</v>
      </c>
      <c r="J4" s="5">
        <f>'SAP Results'!J4</f>
        <v>-85.904799999999994</v>
      </c>
      <c r="K4" s="6" t="str">
        <f>'SAP Results'!K4</f>
        <v>1-1</v>
      </c>
      <c r="L4" s="5">
        <f>'SAP Results'!L4</f>
        <v>5.2</v>
      </c>
    </row>
    <row r="5" spans="1:12" hidden="1">
      <c r="A5" s="6" t="str">
        <f>'SAP Results'!A5</f>
        <v>1</v>
      </c>
      <c r="B5" s="5">
        <f>'SAP Results'!B5</f>
        <v>0</v>
      </c>
      <c r="C5" s="6" t="str">
        <f>'SAP Results'!C5</f>
        <v>G-1</v>
      </c>
      <c r="D5" s="6" t="str">
        <f>'SAP Results'!D5</f>
        <v>LinStatic</v>
      </c>
      <c r="E5" s="5">
        <f>'SAP Results'!E5</f>
        <v>-152.78200000000001</v>
      </c>
      <c r="F5" s="5">
        <f>'SAP Results'!F5</f>
        <v>-33.564999999999998</v>
      </c>
      <c r="G5" s="5">
        <f>'SAP Results'!G5</f>
        <v>0</v>
      </c>
      <c r="H5" s="5">
        <f>'SAP Results'!H5</f>
        <v>0</v>
      </c>
      <c r="I5" s="5">
        <f>'SAP Results'!I5</f>
        <v>0</v>
      </c>
      <c r="J5" s="5">
        <f>'SAP Results'!J5</f>
        <v>-49.655099999999997</v>
      </c>
      <c r="K5" s="6" t="str">
        <f>'SAP Results'!K5</f>
        <v>1-1</v>
      </c>
      <c r="L5" s="5">
        <f>'SAP Results'!L5</f>
        <v>0</v>
      </c>
    </row>
    <row r="6" spans="1:12" hidden="1">
      <c r="A6" s="6" t="str">
        <f>'SAP Results'!A6</f>
        <v>1</v>
      </c>
      <c r="B6" s="5">
        <f>'SAP Results'!B6</f>
        <v>2.6</v>
      </c>
      <c r="C6" s="6" t="str">
        <f>'SAP Results'!C6</f>
        <v>G-1</v>
      </c>
      <c r="D6" s="6" t="str">
        <f>'SAP Results'!D6</f>
        <v>LinStatic</v>
      </c>
      <c r="E6" s="5">
        <f>'SAP Results'!E6</f>
        <v>-152.78200000000001</v>
      </c>
      <c r="F6" s="5">
        <f>'SAP Results'!F6</f>
        <v>-33.564999999999998</v>
      </c>
      <c r="G6" s="5">
        <f>'SAP Results'!G6</f>
        <v>0</v>
      </c>
      <c r="H6" s="5">
        <f>'SAP Results'!H6</f>
        <v>0</v>
      </c>
      <c r="I6" s="5">
        <f>'SAP Results'!I6</f>
        <v>0</v>
      </c>
      <c r="J6" s="5">
        <f>'SAP Results'!J6</f>
        <v>37.613599999999998</v>
      </c>
      <c r="K6" s="6" t="str">
        <f>'SAP Results'!K6</f>
        <v>1-1</v>
      </c>
      <c r="L6" s="5">
        <f>'SAP Results'!L6</f>
        <v>2.6</v>
      </c>
    </row>
    <row r="7" spans="1:12" hidden="1">
      <c r="A7" s="6" t="str">
        <f>'SAP Results'!A7</f>
        <v>1</v>
      </c>
      <c r="B7" s="5">
        <f>'SAP Results'!B7</f>
        <v>5.2</v>
      </c>
      <c r="C7" s="6" t="str">
        <f>'SAP Results'!C7</f>
        <v>G-1</v>
      </c>
      <c r="D7" s="6" t="str">
        <f>'SAP Results'!D7</f>
        <v>LinStatic</v>
      </c>
      <c r="E7" s="5">
        <f>'SAP Results'!E7</f>
        <v>-152.78200000000001</v>
      </c>
      <c r="F7" s="5">
        <f>'SAP Results'!F7</f>
        <v>-33.564999999999998</v>
      </c>
      <c r="G7" s="5">
        <f>'SAP Results'!G7</f>
        <v>0</v>
      </c>
      <c r="H7" s="5">
        <f>'SAP Results'!H7</f>
        <v>0</v>
      </c>
      <c r="I7" s="5">
        <f>'SAP Results'!I7</f>
        <v>0</v>
      </c>
      <c r="J7" s="5">
        <f>'SAP Results'!J7</f>
        <v>124.8822</v>
      </c>
      <c r="K7" s="6" t="str">
        <f>'SAP Results'!K7</f>
        <v>1-1</v>
      </c>
      <c r="L7" s="5">
        <f>'SAP Results'!L7</f>
        <v>5.2</v>
      </c>
    </row>
    <row r="8" spans="1:12" hidden="1">
      <c r="A8" s="6" t="str">
        <f>'SAP Results'!A8</f>
        <v>1</v>
      </c>
      <c r="B8" s="5">
        <f>'SAP Results'!B8</f>
        <v>0</v>
      </c>
      <c r="C8" s="6" t="str">
        <f>'SAP Results'!C8</f>
        <v>G-2</v>
      </c>
      <c r="D8" s="6" t="str">
        <f>'SAP Results'!D8</f>
        <v>LinStatic</v>
      </c>
      <c r="E8" s="5">
        <f>'SAP Results'!E8</f>
        <v>10.212999999999999</v>
      </c>
      <c r="F8" s="5">
        <f>'SAP Results'!F8</f>
        <v>1.0249999999999999</v>
      </c>
      <c r="G8" s="5">
        <f>'SAP Results'!G8</f>
        <v>0</v>
      </c>
      <c r="H8" s="5">
        <f>'SAP Results'!H8</f>
        <v>0</v>
      </c>
      <c r="I8" s="5">
        <f>'SAP Results'!I8</f>
        <v>0</v>
      </c>
      <c r="J8" s="5">
        <f>'SAP Results'!J8</f>
        <v>-4.8253000000000004</v>
      </c>
      <c r="K8" s="6" t="str">
        <f>'SAP Results'!K8</f>
        <v>1-1</v>
      </c>
      <c r="L8" s="5">
        <f>'SAP Results'!L8</f>
        <v>0</v>
      </c>
    </row>
    <row r="9" spans="1:12" hidden="1">
      <c r="A9" s="6" t="str">
        <f>'SAP Results'!A9</f>
        <v>1</v>
      </c>
      <c r="B9" s="5">
        <f>'SAP Results'!B9</f>
        <v>2.6</v>
      </c>
      <c r="C9" s="6" t="str">
        <f>'SAP Results'!C9</f>
        <v>G-2</v>
      </c>
      <c r="D9" s="6" t="str">
        <f>'SAP Results'!D9</f>
        <v>LinStatic</v>
      </c>
      <c r="E9" s="5">
        <f>'SAP Results'!E9</f>
        <v>10.212999999999999</v>
      </c>
      <c r="F9" s="5">
        <f>'SAP Results'!F9</f>
        <v>1.0249999999999999</v>
      </c>
      <c r="G9" s="5">
        <f>'SAP Results'!G9</f>
        <v>0</v>
      </c>
      <c r="H9" s="5">
        <f>'SAP Results'!H9</f>
        <v>0</v>
      </c>
      <c r="I9" s="5">
        <f>'SAP Results'!I9</f>
        <v>0</v>
      </c>
      <c r="J9" s="5">
        <f>'SAP Results'!J9</f>
        <v>-7.4897999999999998</v>
      </c>
      <c r="K9" s="6" t="str">
        <f>'SAP Results'!K9</f>
        <v>1-1</v>
      </c>
      <c r="L9" s="5">
        <f>'SAP Results'!L9</f>
        <v>2.6</v>
      </c>
    </row>
    <row r="10" spans="1:12" hidden="1">
      <c r="A10" s="6" t="str">
        <f>'SAP Results'!A10</f>
        <v>1</v>
      </c>
      <c r="B10" s="5">
        <f>'SAP Results'!B10</f>
        <v>5.2</v>
      </c>
      <c r="C10" s="6" t="str">
        <f>'SAP Results'!C10</f>
        <v>G-2</v>
      </c>
      <c r="D10" s="6" t="str">
        <f>'SAP Results'!D10</f>
        <v>LinStatic</v>
      </c>
      <c r="E10" s="5">
        <f>'SAP Results'!E10</f>
        <v>10.212999999999999</v>
      </c>
      <c r="F10" s="5">
        <f>'SAP Results'!F10</f>
        <v>1.0249999999999999</v>
      </c>
      <c r="G10" s="5">
        <f>'SAP Results'!G10</f>
        <v>0</v>
      </c>
      <c r="H10" s="5">
        <f>'SAP Results'!H10</f>
        <v>0</v>
      </c>
      <c r="I10" s="5">
        <f>'SAP Results'!I10</f>
        <v>0</v>
      </c>
      <c r="J10" s="5">
        <f>'SAP Results'!J10</f>
        <v>-10.154299999999999</v>
      </c>
      <c r="K10" s="6" t="str">
        <f>'SAP Results'!K10</f>
        <v>1-1</v>
      </c>
      <c r="L10" s="5">
        <f>'SAP Results'!L10</f>
        <v>5.2</v>
      </c>
    </row>
    <row r="11" spans="1:12" hidden="1">
      <c r="A11" s="6" t="str">
        <f>'SAP Results'!A11</f>
        <v>1</v>
      </c>
      <c r="B11" s="5">
        <f>'SAP Results'!B11</f>
        <v>0</v>
      </c>
      <c r="C11" s="6" t="str">
        <f>'SAP Results'!C11</f>
        <v>Q-1</v>
      </c>
      <c r="D11" s="6" t="str">
        <f>'SAP Results'!D11</f>
        <v>LinStatic</v>
      </c>
      <c r="E11" s="5">
        <f>'SAP Results'!E11</f>
        <v>-77.08</v>
      </c>
      <c r="F11" s="5">
        <f>'SAP Results'!F11</f>
        <v>-16.934000000000001</v>
      </c>
      <c r="G11" s="5">
        <f>'SAP Results'!G11</f>
        <v>0</v>
      </c>
      <c r="H11" s="5">
        <f>'SAP Results'!H11</f>
        <v>0</v>
      </c>
      <c r="I11" s="5">
        <f>'SAP Results'!I11</f>
        <v>0</v>
      </c>
      <c r="J11" s="5">
        <f>'SAP Results'!J11</f>
        <v>-25.051600000000001</v>
      </c>
      <c r="K11" s="6" t="str">
        <f>'SAP Results'!K11</f>
        <v>1-1</v>
      </c>
      <c r="L11" s="5">
        <f>'SAP Results'!L11</f>
        <v>0</v>
      </c>
    </row>
    <row r="12" spans="1:12" hidden="1">
      <c r="A12" s="6" t="str">
        <f>'SAP Results'!A12</f>
        <v>1</v>
      </c>
      <c r="B12" s="5">
        <f>'SAP Results'!B12</f>
        <v>2.6</v>
      </c>
      <c r="C12" s="6" t="str">
        <f>'SAP Results'!C12</f>
        <v>Q-1</v>
      </c>
      <c r="D12" s="6" t="str">
        <f>'SAP Results'!D12</f>
        <v>LinStatic</v>
      </c>
      <c r="E12" s="5">
        <f>'SAP Results'!E12</f>
        <v>-77.08</v>
      </c>
      <c r="F12" s="5">
        <f>'SAP Results'!F12</f>
        <v>-16.934000000000001</v>
      </c>
      <c r="G12" s="5">
        <f>'SAP Results'!G12</f>
        <v>0</v>
      </c>
      <c r="H12" s="5">
        <f>'SAP Results'!H12</f>
        <v>0</v>
      </c>
      <c r="I12" s="5">
        <f>'SAP Results'!I12</f>
        <v>0</v>
      </c>
      <c r="J12" s="5">
        <f>'SAP Results'!J12</f>
        <v>18.976500000000001</v>
      </c>
      <c r="K12" s="6" t="str">
        <f>'SAP Results'!K12</f>
        <v>1-1</v>
      </c>
      <c r="L12" s="5">
        <f>'SAP Results'!L12</f>
        <v>2.6</v>
      </c>
    </row>
    <row r="13" spans="1:12" hidden="1">
      <c r="A13" s="6" t="str">
        <f>'SAP Results'!A13</f>
        <v>1</v>
      </c>
      <c r="B13" s="5">
        <f>'SAP Results'!B13</f>
        <v>5.2</v>
      </c>
      <c r="C13" s="6" t="str">
        <f>'SAP Results'!C13</f>
        <v>Q-1</v>
      </c>
      <c r="D13" s="6" t="str">
        <f>'SAP Results'!D13</f>
        <v>LinStatic</v>
      </c>
      <c r="E13" s="5">
        <f>'SAP Results'!E13</f>
        <v>-77.08</v>
      </c>
      <c r="F13" s="5">
        <f>'SAP Results'!F13</f>
        <v>-16.934000000000001</v>
      </c>
      <c r="G13" s="5">
        <f>'SAP Results'!G13</f>
        <v>0</v>
      </c>
      <c r="H13" s="5">
        <f>'SAP Results'!H13</f>
        <v>0</v>
      </c>
      <c r="I13" s="5">
        <f>'SAP Results'!I13</f>
        <v>0</v>
      </c>
      <c r="J13" s="5">
        <f>'SAP Results'!J13</f>
        <v>63.004600000000003</v>
      </c>
      <c r="K13" s="6" t="str">
        <f>'SAP Results'!K13</f>
        <v>1-1</v>
      </c>
      <c r="L13" s="5">
        <f>'SAP Results'!L13</f>
        <v>5.2</v>
      </c>
    </row>
    <row r="14" spans="1:12" hidden="1">
      <c r="A14" s="6" t="str">
        <f>'SAP Results'!A14</f>
        <v>1</v>
      </c>
      <c r="B14" s="5">
        <f>'SAP Results'!B14</f>
        <v>0</v>
      </c>
      <c r="C14" s="6" t="str">
        <f>'SAP Results'!C14</f>
        <v>Q-2</v>
      </c>
      <c r="D14" s="6" t="str">
        <f>'SAP Results'!D14</f>
        <v>LinStatic</v>
      </c>
      <c r="E14" s="5">
        <f>'SAP Results'!E14</f>
        <v>5.1529999999999996</v>
      </c>
      <c r="F14" s="5">
        <f>'SAP Results'!F14</f>
        <v>0.51700000000000002</v>
      </c>
      <c r="G14" s="5">
        <f>'SAP Results'!G14</f>
        <v>0</v>
      </c>
      <c r="H14" s="5">
        <f>'SAP Results'!H14</f>
        <v>0</v>
      </c>
      <c r="I14" s="5">
        <f>'SAP Results'!I14</f>
        <v>0</v>
      </c>
      <c r="J14" s="5">
        <f>'SAP Results'!J14</f>
        <v>-2.4344000000000001</v>
      </c>
      <c r="K14" s="6" t="str">
        <f>'SAP Results'!K14</f>
        <v>1-1</v>
      </c>
      <c r="L14" s="5">
        <f>'SAP Results'!L14</f>
        <v>0</v>
      </c>
    </row>
    <row r="15" spans="1:12" hidden="1">
      <c r="A15" s="6" t="str">
        <f>'SAP Results'!A15</f>
        <v>1</v>
      </c>
      <c r="B15" s="5">
        <f>'SAP Results'!B15</f>
        <v>2.6</v>
      </c>
      <c r="C15" s="6" t="str">
        <f>'SAP Results'!C15</f>
        <v>Q-2</v>
      </c>
      <c r="D15" s="6" t="str">
        <f>'SAP Results'!D15</f>
        <v>LinStatic</v>
      </c>
      <c r="E15" s="5">
        <f>'SAP Results'!E15</f>
        <v>5.1529999999999996</v>
      </c>
      <c r="F15" s="5">
        <f>'SAP Results'!F15</f>
        <v>0.51700000000000002</v>
      </c>
      <c r="G15" s="5">
        <f>'SAP Results'!G15</f>
        <v>0</v>
      </c>
      <c r="H15" s="5">
        <f>'SAP Results'!H15</f>
        <v>0</v>
      </c>
      <c r="I15" s="5">
        <f>'SAP Results'!I15</f>
        <v>0</v>
      </c>
      <c r="J15" s="5">
        <f>'SAP Results'!J15</f>
        <v>-3.7787000000000002</v>
      </c>
      <c r="K15" s="6" t="str">
        <f>'SAP Results'!K15</f>
        <v>1-1</v>
      </c>
      <c r="L15" s="5">
        <f>'SAP Results'!L15</f>
        <v>2.6</v>
      </c>
    </row>
    <row r="16" spans="1:12" hidden="1">
      <c r="A16" s="6" t="str">
        <f>'SAP Results'!A16</f>
        <v>1</v>
      </c>
      <c r="B16" s="5">
        <f>'SAP Results'!B16</f>
        <v>5.2</v>
      </c>
      <c r="C16" s="6" t="str">
        <f>'SAP Results'!C16</f>
        <v>Q-2</v>
      </c>
      <c r="D16" s="6" t="str">
        <f>'SAP Results'!D16</f>
        <v>LinStatic</v>
      </c>
      <c r="E16" s="5">
        <f>'SAP Results'!E16</f>
        <v>5.1529999999999996</v>
      </c>
      <c r="F16" s="5">
        <f>'SAP Results'!F16</f>
        <v>0.51700000000000002</v>
      </c>
      <c r="G16" s="5">
        <f>'SAP Results'!G16</f>
        <v>0</v>
      </c>
      <c r="H16" s="5">
        <f>'SAP Results'!H16</f>
        <v>0</v>
      </c>
      <c r="I16" s="5">
        <f>'SAP Results'!I16</f>
        <v>0</v>
      </c>
      <c r="J16" s="5">
        <f>'SAP Results'!J16</f>
        <v>-5.1230000000000002</v>
      </c>
      <c r="K16" s="6" t="str">
        <f>'SAP Results'!K16</f>
        <v>1-1</v>
      </c>
      <c r="L16" s="5">
        <f>'SAP Results'!L16</f>
        <v>5.2</v>
      </c>
    </row>
    <row r="17" spans="1:12">
      <c r="A17" s="6" t="str">
        <f>'SAP Results'!A17</f>
        <v>2</v>
      </c>
      <c r="B17" s="5">
        <f>'SAP Results'!B17</f>
        <v>0</v>
      </c>
      <c r="C17" s="6" t="str">
        <f>'SAP Results'!C17</f>
        <v>EX</v>
      </c>
      <c r="D17" s="6" t="str">
        <f>'SAP Results'!D17</f>
        <v>LinStatic</v>
      </c>
      <c r="E17" s="5">
        <f>'SAP Results'!E17</f>
        <v>6.5729999999999995E-16</v>
      </c>
      <c r="F17" s="5">
        <f>'SAP Results'!F17</f>
        <v>52.991999999999997</v>
      </c>
      <c r="G17" s="5">
        <f>'SAP Results'!G17</f>
        <v>0</v>
      </c>
      <c r="H17" s="5">
        <f>'SAP Results'!H17</f>
        <v>0</v>
      </c>
      <c r="I17" s="5">
        <f>'SAP Results'!I17</f>
        <v>0</v>
      </c>
      <c r="J17" s="5">
        <f>'SAP Results'!J17</f>
        <v>146.3998</v>
      </c>
      <c r="K17" s="6" t="str">
        <f>'SAP Results'!K17</f>
        <v>2-1</v>
      </c>
      <c r="L17" s="5">
        <f>'SAP Results'!L17</f>
        <v>0</v>
      </c>
    </row>
    <row r="18" spans="1:12">
      <c r="A18" s="6" t="str">
        <f>'SAP Results'!A18</f>
        <v>2</v>
      </c>
      <c r="B18" s="5">
        <f>'SAP Results'!B18</f>
        <v>2.6</v>
      </c>
      <c r="C18" s="6" t="str">
        <f>'SAP Results'!C18</f>
        <v>EX</v>
      </c>
      <c r="D18" s="6" t="str">
        <f>'SAP Results'!D18</f>
        <v>LinStatic</v>
      </c>
      <c r="E18" s="5">
        <f>'SAP Results'!E18</f>
        <v>6.5729999999999995E-16</v>
      </c>
      <c r="F18" s="5">
        <f>'SAP Results'!F18</f>
        <v>52.991999999999997</v>
      </c>
      <c r="G18" s="5">
        <f>'SAP Results'!G18</f>
        <v>0</v>
      </c>
      <c r="H18" s="5">
        <f>'SAP Results'!H18</f>
        <v>0</v>
      </c>
      <c r="I18" s="5">
        <f>'SAP Results'!I18</f>
        <v>0</v>
      </c>
      <c r="J18" s="5">
        <f>'SAP Results'!J18</f>
        <v>8.6204999999999998</v>
      </c>
      <c r="K18" s="6" t="str">
        <f>'SAP Results'!K18</f>
        <v>2-1</v>
      </c>
      <c r="L18" s="5">
        <f>'SAP Results'!L18</f>
        <v>2.6</v>
      </c>
    </row>
    <row r="19" spans="1:12">
      <c r="A19" s="6" t="str">
        <f>'SAP Results'!A19</f>
        <v>2</v>
      </c>
      <c r="B19" s="5">
        <f>'SAP Results'!B19</f>
        <v>5.2</v>
      </c>
      <c r="C19" s="6" t="str">
        <f>'SAP Results'!C19</f>
        <v>EX</v>
      </c>
      <c r="D19" s="6" t="str">
        <f>'SAP Results'!D19</f>
        <v>LinStatic</v>
      </c>
      <c r="E19" s="5">
        <f>'SAP Results'!E19</f>
        <v>6.5729999999999995E-16</v>
      </c>
      <c r="F19" s="5">
        <f>'SAP Results'!F19</f>
        <v>52.991999999999997</v>
      </c>
      <c r="G19" s="5">
        <f>'SAP Results'!G19</f>
        <v>0</v>
      </c>
      <c r="H19" s="5">
        <f>'SAP Results'!H19</f>
        <v>0</v>
      </c>
      <c r="I19" s="5">
        <f>'SAP Results'!I19</f>
        <v>0</v>
      </c>
      <c r="J19" s="5">
        <f>'SAP Results'!J19</f>
        <v>-129.15889999999999</v>
      </c>
      <c r="K19" s="6" t="str">
        <f>'SAP Results'!K19</f>
        <v>2-1</v>
      </c>
      <c r="L19" s="5">
        <f>'SAP Results'!L19</f>
        <v>5.2</v>
      </c>
    </row>
    <row r="20" spans="1:12" hidden="1">
      <c r="A20" s="6" t="str">
        <f>'SAP Results'!A20</f>
        <v>2</v>
      </c>
      <c r="B20" s="5">
        <f>'SAP Results'!B20</f>
        <v>0</v>
      </c>
      <c r="C20" s="6" t="str">
        <f>'SAP Results'!C20</f>
        <v>G-1</v>
      </c>
      <c r="D20" s="6" t="str">
        <f>'SAP Results'!D20</f>
        <v>LinStatic</v>
      </c>
      <c r="E20" s="5">
        <f>'SAP Results'!E20</f>
        <v>-178.54599999999999</v>
      </c>
      <c r="F20" s="5">
        <f>'SAP Results'!F20</f>
        <v>34.590000000000003</v>
      </c>
      <c r="G20" s="5">
        <f>'SAP Results'!G20</f>
        <v>0</v>
      </c>
      <c r="H20" s="5">
        <f>'SAP Results'!H20</f>
        <v>0</v>
      </c>
      <c r="I20" s="5">
        <f>'SAP Results'!I20</f>
        <v>0</v>
      </c>
      <c r="J20" s="5">
        <f>'SAP Results'!J20</f>
        <v>64.453100000000006</v>
      </c>
      <c r="K20" s="6" t="str">
        <f>'SAP Results'!K20</f>
        <v>2-1</v>
      </c>
      <c r="L20" s="5">
        <f>'SAP Results'!L20</f>
        <v>0</v>
      </c>
    </row>
    <row r="21" spans="1:12" ht="15.75" hidden="1" customHeight="1">
      <c r="A21" s="6" t="str">
        <f>'SAP Results'!A21</f>
        <v>2</v>
      </c>
      <c r="B21" s="5">
        <f>'SAP Results'!B21</f>
        <v>2.6</v>
      </c>
      <c r="C21" s="6" t="str">
        <f>'SAP Results'!C21</f>
        <v>G-1</v>
      </c>
      <c r="D21" s="6" t="str">
        <f>'SAP Results'!D21</f>
        <v>LinStatic</v>
      </c>
      <c r="E21" s="5">
        <f>'SAP Results'!E21</f>
        <v>-178.54599999999999</v>
      </c>
      <c r="F21" s="5">
        <f>'SAP Results'!F21</f>
        <v>34.590000000000003</v>
      </c>
      <c r="G21" s="5">
        <f>'SAP Results'!G21</f>
        <v>0</v>
      </c>
      <c r="H21" s="5">
        <f>'SAP Results'!H21</f>
        <v>0</v>
      </c>
      <c r="I21" s="5">
        <f>'SAP Results'!I21</f>
        <v>0</v>
      </c>
      <c r="J21" s="5">
        <f>'SAP Results'!J21</f>
        <v>-25.48</v>
      </c>
      <c r="K21" s="6" t="str">
        <f>'SAP Results'!K21</f>
        <v>2-1</v>
      </c>
      <c r="L21" s="5">
        <f>'SAP Results'!L21</f>
        <v>2.6</v>
      </c>
    </row>
    <row r="22" spans="1:12" ht="15.75" hidden="1" customHeight="1">
      <c r="A22" s="6" t="str">
        <f>'SAP Results'!A22</f>
        <v>2</v>
      </c>
      <c r="B22" s="5">
        <f>'SAP Results'!B22</f>
        <v>5.2</v>
      </c>
      <c r="C22" s="6" t="str">
        <f>'SAP Results'!C22</f>
        <v>G-1</v>
      </c>
      <c r="D22" s="6" t="str">
        <f>'SAP Results'!D22</f>
        <v>LinStatic</v>
      </c>
      <c r="E22" s="5">
        <f>'SAP Results'!E22</f>
        <v>-178.54599999999999</v>
      </c>
      <c r="F22" s="5">
        <f>'SAP Results'!F22</f>
        <v>34.590000000000003</v>
      </c>
      <c r="G22" s="5">
        <f>'SAP Results'!G22</f>
        <v>0</v>
      </c>
      <c r="H22" s="5">
        <f>'SAP Results'!H22</f>
        <v>0</v>
      </c>
      <c r="I22" s="5">
        <f>'SAP Results'!I22</f>
        <v>0</v>
      </c>
      <c r="J22" s="5">
        <f>'SAP Results'!J22</f>
        <v>-115.4132</v>
      </c>
      <c r="K22" s="6" t="str">
        <f>'SAP Results'!K22</f>
        <v>2-1</v>
      </c>
      <c r="L22" s="5">
        <f>'SAP Results'!L22</f>
        <v>5.2</v>
      </c>
    </row>
    <row r="23" spans="1:12" ht="15.75" hidden="1" customHeight="1">
      <c r="A23" s="6" t="str">
        <f>'SAP Results'!A23</f>
        <v>2</v>
      </c>
      <c r="B23" s="5">
        <f>'SAP Results'!B23</f>
        <v>0</v>
      </c>
      <c r="C23" s="6" t="str">
        <f>'SAP Results'!C23</f>
        <v>G-2</v>
      </c>
      <c r="D23" s="6" t="str">
        <f>'SAP Results'!D23</f>
        <v>LinStatic</v>
      </c>
      <c r="E23" s="5">
        <f>'SAP Results'!E23</f>
        <v>-178.54599999999999</v>
      </c>
      <c r="F23" s="5">
        <f>'SAP Results'!F23</f>
        <v>-34.590000000000003</v>
      </c>
      <c r="G23" s="5">
        <f>'SAP Results'!G23</f>
        <v>0</v>
      </c>
      <c r="H23" s="5">
        <f>'SAP Results'!H23</f>
        <v>0</v>
      </c>
      <c r="I23" s="5">
        <f>'SAP Results'!I23</f>
        <v>0</v>
      </c>
      <c r="J23" s="5">
        <f>'SAP Results'!J23</f>
        <v>-64.453100000000006</v>
      </c>
      <c r="K23" s="6" t="str">
        <f>'SAP Results'!K23</f>
        <v>2-1</v>
      </c>
      <c r="L23" s="5">
        <f>'SAP Results'!L23</f>
        <v>0</v>
      </c>
    </row>
    <row r="24" spans="1:12" ht="15.75" hidden="1" customHeight="1">
      <c r="A24" s="6" t="str">
        <f>'SAP Results'!A24</f>
        <v>2</v>
      </c>
      <c r="B24" s="5">
        <f>'SAP Results'!B24</f>
        <v>2.6</v>
      </c>
      <c r="C24" s="6" t="str">
        <f>'SAP Results'!C24</f>
        <v>G-2</v>
      </c>
      <c r="D24" s="6" t="str">
        <f>'SAP Results'!D24</f>
        <v>LinStatic</v>
      </c>
      <c r="E24" s="5">
        <f>'SAP Results'!E24</f>
        <v>-178.54599999999999</v>
      </c>
      <c r="F24" s="5">
        <f>'SAP Results'!F24</f>
        <v>-34.590000000000003</v>
      </c>
      <c r="G24" s="5">
        <f>'SAP Results'!G24</f>
        <v>0</v>
      </c>
      <c r="H24" s="5">
        <f>'SAP Results'!H24</f>
        <v>0</v>
      </c>
      <c r="I24" s="5">
        <f>'SAP Results'!I24</f>
        <v>0</v>
      </c>
      <c r="J24" s="5">
        <f>'SAP Results'!J24</f>
        <v>25.48</v>
      </c>
      <c r="K24" s="6" t="str">
        <f>'SAP Results'!K24</f>
        <v>2-1</v>
      </c>
      <c r="L24" s="5">
        <f>'SAP Results'!L24</f>
        <v>2.6</v>
      </c>
    </row>
    <row r="25" spans="1:12" ht="15.75" hidden="1" customHeight="1">
      <c r="A25" s="6" t="str">
        <f>'SAP Results'!A25</f>
        <v>2</v>
      </c>
      <c r="B25" s="5">
        <f>'SAP Results'!B25</f>
        <v>5.2</v>
      </c>
      <c r="C25" s="6" t="str">
        <f>'SAP Results'!C25</f>
        <v>G-2</v>
      </c>
      <c r="D25" s="6" t="str">
        <f>'SAP Results'!D25</f>
        <v>LinStatic</v>
      </c>
      <c r="E25" s="5">
        <f>'SAP Results'!E25</f>
        <v>-178.54599999999999</v>
      </c>
      <c r="F25" s="5">
        <f>'SAP Results'!F25</f>
        <v>-34.590000000000003</v>
      </c>
      <c r="G25" s="5">
        <f>'SAP Results'!G25</f>
        <v>0</v>
      </c>
      <c r="H25" s="5">
        <f>'SAP Results'!H25</f>
        <v>0</v>
      </c>
      <c r="I25" s="5">
        <f>'SAP Results'!I25</f>
        <v>0</v>
      </c>
      <c r="J25" s="5">
        <f>'SAP Results'!J25</f>
        <v>115.4132</v>
      </c>
      <c r="K25" s="6" t="str">
        <f>'SAP Results'!K25</f>
        <v>2-1</v>
      </c>
      <c r="L25" s="5">
        <f>'SAP Results'!L25</f>
        <v>5.2</v>
      </c>
    </row>
    <row r="26" spans="1:12" ht="15.75" hidden="1" customHeight="1">
      <c r="A26" s="6" t="str">
        <f>'SAP Results'!A26</f>
        <v>2</v>
      </c>
      <c r="B26" s="5">
        <f>'SAP Results'!B26</f>
        <v>0</v>
      </c>
      <c r="C26" s="6" t="str">
        <f>'SAP Results'!C26</f>
        <v>Q-1</v>
      </c>
      <c r="D26" s="6" t="str">
        <f>'SAP Results'!D26</f>
        <v>LinStatic</v>
      </c>
      <c r="E26" s="5">
        <f>'SAP Results'!E26</f>
        <v>-90.078999999999994</v>
      </c>
      <c r="F26" s="5">
        <f>'SAP Results'!F26</f>
        <v>17.451000000000001</v>
      </c>
      <c r="G26" s="5">
        <f>'SAP Results'!G26</f>
        <v>0</v>
      </c>
      <c r="H26" s="5">
        <f>'SAP Results'!H26</f>
        <v>0</v>
      </c>
      <c r="I26" s="5">
        <f>'SAP Results'!I26</f>
        <v>0</v>
      </c>
      <c r="J26" s="5">
        <f>'SAP Results'!J26</f>
        <v>32.517400000000002</v>
      </c>
      <c r="K26" s="6" t="str">
        <f>'SAP Results'!K26</f>
        <v>2-1</v>
      </c>
      <c r="L26" s="5">
        <f>'SAP Results'!L26</f>
        <v>0</v>
      </c>
    </row>
    <row r="27" spans="1:12" ht="15.75" hidden="1" customHeight="1">
      <c r="A27" s="6" t="str">
        <f>'SAP Results'!A27</f>
        <v>2</v>
      </c>
      <c r="B27" s="5">
        <f>'SAP Results'!B27</f>
        <v>2.6</v>
      </c>
      <c r="C27" s="6" t="str">
        <f>'SAP Results'!C27</f>
        <v>Q-1</v>
      </c>
      <c r="D27" s="6" t="str">
        <f>'SAP Results'!D27</f>
        <v>LinStatic</v>
      </c>
      <c r="E27" s="5">
        <f>'SAP Results'!E27</f>
        <v>-90.078999999999994</v>
      </c>
      <c r="F27" s="5">
        <f>'SAP Results'!F27</f>
        <v>17.451000000000001</v>
      </c>
      <c r="G27" s="5">
        <f>'SAP Results'!G27</f>
        <v>0</v>
      </c>
      <c r="H27" s="5">
        <f>'SAP Results'!H27</f>
        <v>0</v>
      </c>
      <c r="I27" s="5">
        <f>'SAP Results'!I27</f>
        <v>0</v>
      </c>
      <c r="J27" s="5">
        <f>'SAP Results'!J27</f>
        <v>-12.855</v>
      </c>
      <c r="K27" s="6" t="str">
        <f>'SAP Results'!K27</f>
        <v>2-1</v>
      </c>
      <c r="L27" s="5">
        <f>'SAP Results'!L27</f>
        <v>2.6</v>
      </c>
    </row>
    <row r="28" spans="1:12" ht="15.75" hidden="1" customHeight="1">
      <c r="A28" s="6" t="str">
        <f>'SAP Results'!A28</f>
        <v>2</v>
      </c>
      <c r="B28" s="5">
        <f>'SAP Results'!B28</f>
        <v>5.2</v>
      </c>
      <c r="C28" s="6" t="str">
        <f>'SAP Results'!C28</f>
        <v>Q-1</v>
      </c>
      <c r="D28" s="6" t="str">
        <f>'SAP Results'!D28</f>
        <v>LinStatic</v>
      </c>
      <c r="E28" s="5">
        <f>'SAP Results'!E28</f>
        <v>-90.078999999999994</v>
      </c>
      <c r="F28" s="5">
        <f>'SAP Results'!F28</f>
        <v>17.451000000000001</v>
      </c>
      <c r="G28" s="5">
        <f>'SAP Results'!G28</f>
        <v>0</v>
      </c>
      <c r="H28" s="5">
        <f>'SAP Results'!H28</f>
        <v>0</v>
      </c>
      <c r="I28" s="5">
        <f>'SAP Results'!I28</f>
        <v>0</v>
      </c>
      <c r="J28" s="5">
        <f>'SAP Results'!J28</f>
        <v>-58.227400000000003</v>
      </c>
      <c r="K28" s="6" t="str">
        <f>'SAP Results'!K28</f>
        <v>2-1</v>
      </c>
      <c r="L28" s="5">
        <f>'SAP Results'!L28</f>
        <v>5.2</v>
      </c>
    </row>
    <row r="29" spans="1:12" ht="15.75" hidden="1" customHeight="1">
      <c r="A29" s="6" t="str">
        <f>'SAP Results'!A29</f>
        <v>2</v>
      </c>
      <c r="B29" s="5">
        <f>'SAP Results'!B29</f>
        <v>0</v>
      </c>
      <c r="C29" s="6" t="str">
        <f>'SAP Results'!C29</f>
        <v>Q-2</v>
      </c>
      <c r="D29" s="6" t="str">
        <f>'SAP Results'!D29</f>
        <v>LinStatic</v>
      </c>
      <c r="E29" s="5">
        <f>'SAP Results'!E29</f>
        <v>-90.078999999999994</v>
      </c>
      <c r="F29" s="5">
        <f>'SAP Results'!F29</f>
        <v>-17.451000000000001</v>
      </c>
      <c r="G29" s="5">
        <f>'SAP Results'!G29</f>
        <v>0</v>
      </c>
      <c r="H29" s="5">
        <f>'SAP Results'!H29</f>
        <v>0</v>
      </c>
      <c r="I29" s="5">
        <f>'SAP Results'!I29</f>
        <v>0</v>
      </c>
      <c r="J29" s="5">
        <f>'SAP Results'!J29</f>
        <v>-32.517400000000002</v>
      </c>
      <c r="K29" s="6" t="str">
        <f>'SAP Results'!K29</f>
        <v>2-1</v>
      </c>
      <c r="L29" s="5">
        <f>'SAP Results'!L29</f>
        <v>0</v>
      </c>
    </row>
    <row r="30" spans="1:12" ht="15.75" hidden="1" customHeight="1">
      <c r="A30" s="6" t="str">
        <f>'SAP Results'!A30</f>
        <v>2</v>
      </c>
      <c r="B30" s="5">
        <f>'SAP Results'!B30</f>
        <v>2.6</v>
      </c>
      <c r="C30" s="6" t="str">
        <f>'SAP Results'!C30</f>
        <v>Q-2</v>
      </c>
      <c r="D30" s="6" t="str">
        <f>'SAP Results'!D30</f>
        <v>LinStatic</v>
      </c>
      <c r="E30" s="5">
        <f>'SAP Results'!E30</f>
        <v>-90.078999999999994</v>
      </c>
      <c r="F30" s="5">
        <f>'SAP Results'!F30</f>
        <v>-17.451000000000001</v>
      </c>
      <c r="G30" s="5">
        <f>'SAP Results'!G30</f>
        <v>0</v>
      </c>
      <c r="H30" s="5">
        <f>'SAP Results'!H30</f>
        <v>0</v>
      </c>
      <c r="I30" s="5">
        <f>'SAP Results'!I30</f>
        <v>0</v>
      </c>
      <c r="J30" s="5">
        <f>'SAP Results'!J30</f>
        <v>12.855</v>
      </c>
      <c r="K30" s="6" t="str">
        <f>'SAP Results'!K30</f>
        <v>2-1</v>
      </c>
      <c r="L30" s="5">
        <f>'SAP Results'!L30</f>
        <v>2.6</v>
      </c>
    </row>
    <row r="31" spans="1:12" ht="15.75" hidden="1" customHeight="1">
      <c r="A31" s="6" t="str">
        <f>'SAP Results'!A31</f>
        <v>2</v>
      </c>
      <c r="B31" s="5">
        <f>'SAP Results'!B31</f>
        <v>5.2</v>
      </c>
      <c r="C31" s="6" t="str">
        <f>'SAP Results'!C31</f>
        <v>Q-2</v>
      </c>
      <c r="D31" s="6" t="str">
        <f>'SAP Results'!D31</f>
        <v>LinStatic</v>
      </c>
      <c r="E31" s="5">
        <f>'SAP Results'!E31</f>
        <v>-90.078999999999994</v>
      </c>
      <c r="F31" s="5">
        <f>'SAP Results'!F31</f>
        <v>-17.451000000000001</v>
      </c>
      <c r="G31" s="5">
        <f>'SAP Results'!G31</f>
        <v>0</v>
      </c>
      <c r="H31" s="5">
        <f>'SAP Results'!H31</f>
        <v>0</v>
      </c>
      <c r="I31" s="5">
        <f>'SAP Results'!I31</f>
        <v>0</v>
      </c>
      <c r="J31" s="5">
        <f>'SAP Results'!J31</f>
        <v>58.227400000000003</v>
      </c>
      <c r="K31" s="6" t="str">
        <f>'SAP Results'!K31</f>
        <v>2-1</v>
      </c>
      <c r="L31" s="5">
        <f>'SAP Results'!L31</f>
        <v>5.2</v>
      </c>
    </row>
    <row r="32" spans="1:12" ht="15.75" customHeight="1">
      <c r="A32" s="6" t="str">
        <f>'SAP Results'!A32</f>
        <v>3</v>
      </c>
      <c r="B32" s="5">
        <f>'SAP Results'!B32</f>
        <v>0</v>
      </c>
      <c r="C32" s="6" t="str">
        <f>'SAP Results'!C32</f>
        <v>EX</v>
      </c>
      <c r="D32" s="6" t="str">
        <f>'SAP Results'!D32</f>
        <v>LinStatic</v>
      </c>
      <c r="E32" s="5">
        <f>'SAP Results'!E32</f>
        <v>-18.693999999999999</v>
      </c>
      <c r="F32" s="5">
        <f>'SAP Results'!F32</f>
        <v>40.723999999999997</v>
      </c>
      <c r="G32" s="5">
        <f>'SAP Results'!G32</f>
        <v>0</v>
      </c>
      <c r="H32" s="5">
        <f>'SAP Results'!H32</f>
        <v>0</v>
      </c>
      <c r="I32" s="5">
        <f>'SAP Results'!I32</f>
        <v>0</v>
      </c>
      <c r="J32" s="5">
        <f>'SAP Results'!J32</f>
        <v>125.8599</v>
      </c>
      <c r="K32" s="6" t="str">
        <f>'SAP Results'!K32</f>
        <v>3-1</v>
      </c>
      <c r="L32" s="5">
        <f>'SAP Results'!L32</f>
        <v>0</v>
      </c>
    </row>
    <row r="33" spans="1:12" ht="15.75" customHeight="1">
      <c r="A33" s="6" t="str">
        <f>'SAP Results'!A33</f>
        <v>3</v>
      </c>
      <c r="B33" s="5">
        <f>'SAP Results'!B33</f>
        <v>2.6</v>
      </c>
      <c r="C33" s="6" t="str">
        <f>'SAP Results'!C33</f>
        <v>EX</v>
      </c>
      <c r="D33" s="6" t="str">
        <f>'SAP Results'!D33</f>
        <v>LinStatic</v>
      </c>
      <c r="E33" s="5">
        <f>'SAP Results'!E33</f>
        <v>-18.693999999999999</v>
      </c>
      <c r="F33" s="5">
        <f>'SAP Results'!F33</f>
        <v>40.723999999999997</v>
      </c>
      <c r="G33" s="5">
        <f>'SAP Results'!G33</f>
        <v>0</v>
      </c>
      <c r="H33" s="5">
        <f>'SAP Results'!H33</f>
        <v>0</v>
      </c>
      <c r="I33" s="5">
        <f>'SAP Results'!I33</f>
        <v>0</v>
      </c>
      <c r="J33" s="5">
        <f>'SAP Results'!J33</f>
        <v>19.977599999999999</v>
      </c>
      <c r="K33" s="6" t="str">
        <f>'SAP Results'!K33</f>
        <v>3-1</v>
      </c>
      <c r="L33" s="5">
        <f>'SAP Results'!L33</f>
        <v>2.6</v>
      </c>
    </row>
    <row r="34" spans="1:12" ht="15.75" customHeight="1">
      <c r="A34" s="6" t="str">
        <f>'SAP Results'!A34</f>
        <v>3</v>
      </c>
      <c r="B34" s="5">
        <f>'SAP Results'!B34</f>
        <v>5.2</v>
      </c>
      <c r="C34" s="6" t="str">
        <f>'SAP Results'!C34</f>
        <v>EX</v>
      </c>
      <c r="D34" s="6" t="str">
        <f>'SAP Results'!D34</f>
        <v>LinStatic</v>
      </c>
      <c r="E34" s="5">
        <f>'SAP Results'!E34</f>
        <v>-18.693999999999999</v>
      </c>
      <c r="F34" s="5">
        <f>'SAP Results'!F34</f>
        <v>40.723999999999997</v>
      </c>
      <c r="G34" s="5">
        <f>'SAP Results'!G34</f>
        <v>0</v>
      </c>
      <c r="H34" s="5">
        <f>'SAP Results'!H34</f>
        <v>0</v>
      </c>
      <c r="I34" s="5">
        <f>'SAP Results'!I34</f>
        <v>0</v>
      </c>
      <c r="J34" s="5">
        <f>'SAP Results'!J34</f>
        <v>-85.904799999999994</v>
      </c>
      <c r="K34" s="6" t="str">
        <f>'SAP Results'!K34</f>
        <v>3-1</v>
      </c>
      <c r="L34" s="5">
        <f>'SAP Results'!L34</f>
        <v>5.2</v>
      </c>
    </row>
    <row r="35" spans="1:12" ht="15.75" hidden="1" customHeight="1">
      <c r="A35" s="6" t="str">
        <f>'SAP Results'!A35</f>
        <v>3</v>
      </c>
      <c r="B35" s="5">
        <f>'SAP Results'!B35</f>
        <v>0</v>
      </c>
      <c r="C35" s="6" t="str">
        <f>'SAP Results'!C35</f>
        <v>G-1</v>
      </c>
      <c r="D35" s="6" t="str">
        <f>'SAP Results'!D35</f>
        <v>LinStatic</v>
      </c>
      <c r="E35" s="5">
        <f>'SAP Results'!E35</f>
        <v>10.212999999999999</v>
      </c>
      <c r="F35" s="5">
        <f>'SAP Results'!F35</f>
        <v>-1.0249999999999999</v>
      </c>
      <c r="G35" s="5">
        <f>'SAP Results'!G35</f>
        <v>0</v>
      </c>
      <c r="H35" s="5">
        <f>'SAP Results'!H35</f>
        <v>0</v>
      </c>
      <c r="I35" s="5">
        <f>'SAP Results'!I35</f>
        <v>0</v>
      </c>
      <c r="J35" s="5">
        <f>'SAP Results'!J35</f>
        <v>4.8253000000000004</v>
      </c>
      <c r="K35" s="6" t="str">
        <f>'SAP Results'!K35</f>
        <v>3-1</v>
      </c>
      <c r="L35" s="5">
        <f>'SAP Results'!L35</f>
        <v>0</v>
      </c>
    </row>
    <row r="36" spans="1:12" ht="15.75" hidden="1" customHeight="1">
      <c r="A36" s="6" t="str">
        <f>'SAP Results'!A36</f>
        <v>3</v>
      </c>
      <c r="B36" s="5">
        <f>'SAP Results'!B36</f>
        <v>2.6</v>
      </c>
      <c r="C36" s="6" t="str">
        <f>'SAP Results'!C36</f>
        <v>G-1</v>
      </c>
      <c r="D36" s="6" t="str">
        <f>'SAP Results'!D36</f>
        <v>LinStatic</v>
      </c>
      <c r="E36" s="5">
        <f>'SAP Results'!E36</f>
        <v>10.212999999999999</v>
      </c>
      <c r="F36" s="5">
        <f>'SAP Results'!F36</f>
        <v>-1.0249999999999999</v>
      </c>
      <c r="G36" s="5">
        <f>'SAP Results'!G36</f>
        <v>0</v>
      </c>
      <c r="H36" s="5">
        <f>'SAP Results'!H36</f>
        <v>0</v>
      </c>
      <c r="I36" s="5">
        <f>'SAP Results'!I36</f>
        <v>0</v>
      </c>
      <c r="J36" s="5">
        <f>'SAP Results'!J36</f>
        <v>7.4897999999999998</v>
      </c>
      <c r="K36" s="6" t="str">
        <f>'SAP Results'!K36</f>
        <v>3-1</v>
      </c>
      <c r="L36" s="5">
        <f>'SAP Results'!L36</f>
        <v>2.6</v>
      </c>
    </row>
    <row r="37" spans="1:12" ht="15.75" hidden="1" customHeight="1">
      <c r="A37" s="6" t="str">
        <f>'SAP Results'!A37</f>
        <v>3</v>
      </c>
      <c r="B37" s="5">
        <f>'SAP Results'!B37</f>
        <v>5.2</v>
      </c>
      <c r="C37" s="6" t="str">
        <f>'SAP Results'!C37</f>
        <v>G-1</v>
      </c>
      <c r="D37" s="6" t="str">
        <f>'SAP Results'!D37</f>
        <v>LinStatic</v>
      </c>
      <c r="E37" s="5">
        <f>'SAP Results'!E37</f>
        <v>10.212999999999999</v>
      </c>
      <c r="F37" s="5">
        <f>'SAP Results'!F37</f>
        <v>-1.0249999999999999</v>
      </c>
      <c r="G37" s="5">
        <f>'SAP Results'!G37</f>
        <v>0</v>
      </c>
      <c r="H37" s="5">
        <f>'SAP Results'!H37</f>
        <v>0</v>
      </c>
      <c r="I37" s="5">
        <f>'SAP Results'!I37</f>
        <v>0</v>
      </c>
      <c r="J37" s="5">
        <f>'SAP Results'!J37</f>
        <v>10.154299999999999</v>
      </c>
      <c r="K37" s="6" t="str">
        <f>'SAP Results'!K37</f>
        <v>3-1</v>
      </c>
      <c r="L37" s="5">
        <f>'SAP Results'!L37</f>
        <v>5.2</v>
      </c>
    </row>
    <row r="38" spans="1:12" ht="15.75" hidden="1" customHeight="1">
      <c r="A38" s="6" t="str">
        <f>'SAP Results'!A38</f>
        <v>3</v>
      </c>
      <c r="B38" s="5">
        <f>'SAP Results'!B38</f>
        <v>0</v>
      </c>
      <c r="C38" s="6" t="str">
        <f>'SAP Results'!C38</f>
        <v>G-2</v>
      </c>
      <c r="D38" s="6" t="str">
        <f>'SAP Results'!D38</f>
        <v>LinStatic</v>
      </c>
      <c r="E38" s="5">
        <f>'SAP Results'!E38</f>
        <v>-152.78200000000001</v>
      </c>
      <c r="F38" s="5">
        <f>'SAP Results'!F38</f>
        <v>33.564999999999998</v>
      </c>
      <c r="G38" s="5">
        <f>'SAP Results'!G38</f>
        <v>0</v>
      </c>
      <c r="H38" s="5">
        <f>'SAP Results'!H38</f>
        <v>0</v>
      </c>
      <c r="I38" s="5">
        <f>'SAP Results'!I38</f>
        <v>0</v>
      </c>
      <c r="J38" s="5">
        <f>'SAP Results'!J38</f>
        <v>49.655099999999997</v>
      </c>
      <c r="K38" s="6" t="str">
        <f>'SAP Results'!K38</f>
        <v>3-1</v>
      </c>
      <c r="L38" s="5">
        <f>'SAP Results'!L38</f>
        <v>0</v>
      </c>
    </row>
    <row r="39" spans="1:12" ht="15.75" hidden="1" customHeight="1">
      <c r="A39" s="6" t="str">
        <f>'SAP Results'!A39</f>
        <v>3</v>
      </c>
      <c r="B39" s="5">
        <f>'SAP Results'!B39</f>
        <v>2.6</v>
      </c>
      <c r="C39" s="6" t="str">
        <f>'SAP Results'!C39</f>
        <v>G-2</v>
      </c>
      <c r="D39" s="6" t="str">
        <f>'SAP Results'!D39</f>
        <v>LinStatic</v>
      </c>
      <c r="E39" s="5">
        <f>'SAP Results'!E39</f>
        <v>-152.78200000000001</v>
      </c>
      <c r="F39" s="5">
        <f>'SAP Results'!F39</f>
        <v>33.564999999999998</v>
      </c>
      <c r="G39" s="5">
        <f>'SAP Results'!G39</f>
        <v>0</v>
      </c>
      <c r="H39" s="5">
        <f>'SAP Results'!H39</f>
        <v>0</v>
      </c>
      <c r="I39" s="5">
        <f>'SAP Results'!I39</f>
        <v>0</v>
      </c>
      <c r="J39" s="5">
        <f>'SAP Results'!J39</f>
        <v>-37.613599999999998</v>
      </c>
      <c r="K39" s="6" t="str">
        <f>'SAP Results'!K39</f>
        <v>3-1</v>
      </c>
      <c r="L39" s="5">
        <f>'SAP Results'!L39</f>
        <v>2.6</v>
      </c>
    </row>
    <row r="40" spans="1:12" ht="15.75" hidden="1" customHeight="1">
      <c r="A40" s="6" t="str">
        <f>'SAP Results'!A40</f>
        <v>3</v>
      </c>
      <c r="B40" s="5">
        <f>'SAP Results'!B40</f>
        <v>5.2</v>
      </c>
      <c r="C40" s="6" t="str">
        <f>'SAP Results'!C40</f>
        <v>G-2</v>
      </c>
      <c r="D40" s="6" t="str">
        <f>'SAP Results'!D40</f>
        <v>LinStatic</v>
      </c>
      <c r="E40" s="5">
        <f>'SAP Results'!E40</f>
        <v>-152.78200000000001</v>
      </c>
      <c r="F40" s="5">
        <f>'SAP Results'!F40</f>
        <v>33.564999999999998</v>
      </c>
      <c r="G40" s="5">
        <f>'SAP Results'!G40</f>
        <v>0</v>
      </c>
      <c r="H40" s="5">
        <f>'SAP Results'!H40</f>
        <v>0</v>
      </c>
      <c r="I40" s="5">
        <f>'SAP Results'!I40</f>
        <v>0</v>
      </c>
      <c r="J40" s="5">
        <f>'SAP Results'!J40</f>
        <v>-124.8822</v>
      </c>
      <c r="K40" s="6" t="str">
        <f>'SAP Results'!K40</f>
        <v>3-1</v>
      </c>
      <c r="L40" s="5">
        <f>'SAP Results'!L40</f>
        <v>5.2</v>
      </c>
    </row>
    <row r="41" spans="1:12" ht="15.75" hidden="1" customHeight="1">
      <c r="A41" s="6" t="str">
        <f>'SAP Results'!A41</f>
        <v>3</v>
      </c>
      <c r="B41" s="5">
        <f>'SAP Results'!B41</f>
        <v>0</v>
      </c>
      <c r="C41" s="6" t="str">
        <f>'SAP Results'!C41</f>
        <v>Q-1</v>
      </c>
      <c r="D41" s="6" t="str">
        <f>'SAP Results'!D41</f>
        <v>LinStatic</v>
      </c>
      <c r="E41" s="5">
        <f>'SAP Results'!E41</f>
        <v>5.1529999999999996</v>
      </c>
      <c r="F41" s="5">
        <f>'SAP Results'!F41</f>
        <v>-0.51700000000000002</v>
      </c>
      <c r="G41" s="5">
        <f>'SAP Results'!G41</f>
        <v>0</v>
      </c>
      <c r="H41" s="5">
        <f>'SAP Results'!H41</f>
        <v>0</v>
      </c>
      <c r="I41" s="5">
        <f>'SAP Results'!I41</f>
        <v>0</v>
      </c>
      <c r="J41" s="5">
        <f>'SAP Results'!J41</f>
        <v>2.4344000000000001</v>
      </c>
      <c r="K41" s="6" t="str">
        <f>'SAP Results'!K41</f>
        <v>3-1</v>
      </c>
      <c r="L41" s="5">
        <f>'SAP Results'!L41</f>
        <v>0</v>
      </c>
    </row>
    <row r="42" spans="1:12" ht="15.75" hidden="1" customHeight="1">
      <c r="A42" s="6" t="str">
        <f>'SAP Results'!A42</f>
        <v>3</v>
      </c>
      <c r="B42" s="5">
        <f>'SAP Results'!B42</f>
        <v>2.6</v>
      </c>
      <c r="C42" s="6" t="str">
        <f>'SAP Results'!C42</f>
        <v>Q-1</v>
      </c>
      <c r="D42" s="6" t="str">
        <f>'SAP Results'!D42</f>
        <v>LinStatic</v>
      </c>
      <c r="E42" s="5">
        <f>'SAP Results'!E42</f>
        <v>5.1529999999999996</v>
      </c>
      <c r="F42" s="5">
        <f>'SAP Results'!F42</f>
        <v>-0.51700000000000002</v>
      </c>
      <c r="G42" s="5">
        <f>'SAP Results'!G42</f>
        <v>0</v>
      </c>
      <c r="H42" s="5">
        <f>'SAP Results'!H42</f>
        <v>0</v>
      </c>
      <c r="I42" s="5">
        <f>'SAP Results'!I42</f>
        <v>0</v>
      </c>
      <c r="J42" s="5">
        <f>'SAP Results'!J42</f>
        <v>3.7787000000000002</v>
      </c>
      <c r="K42" s="6" t="str">
        <f>'SAP Results'!K42</f>
        <v>3-1</v>
      </c>
      <c r="L42" s="5">
        <f>'SAP Results'!L42</f>
        <v>2.6</v>
      </c>
    </row>
    <row r="43" spans="1:12" ht="15.75" hidden="1" customHeight="1">
      <c r="A43" s="6" t="str">
        <f>'SAP Results'!A43</f>
        <v>3</v>
      </c>
      <c r="B43" s="5">
        <f>'SAP Results'!B43</f>
        <v>5.2</v>
      </c>
      <c r="C43" s="6" t="str">
        <f>'SAP Results'!C43</f>
        <v>Q-1</v>
      </c>
      <c r="D43" s="6" t="str">
        <f>'SAP Results'!D43</f>
        <v>LinStatic</v>
      </c>
      <c r="E43" s="5">
        <f>'SAP Results'!E43</f>
        <v>5.1529999999999996</v>
      </c>
      <c r="F43" s="5">
        <f>'SAP Results'!F43</f>
        <v>-0.51700000000000002</v>
      </c>
      <c r="G43" s="5">
        <f>'SAP Results'!G43</f>
        <v>0</v>
      </c>
      <c r="H43" s="5">
        <f>'SAP Results'!H43</f>
        <v>0</v>
      </c>
      <c r="I43" s="5">
        <f>'SAP Results'!I43</f>
        <v>0</v>
      </c>
      <c r="J43" s="5">
        <f>'SAP Results'!J43</f>
        <v>5.1230000000000002</v>
      </c>
      <c r="K43" s="6" t="str">
        <f>'SAP Results'!K43</f>
        <v>3-1</v>
      </c>
      <c r="L43" s="5">
        <f>'SAP Results'!L43</f>
        <v>5.2</v>
      </c>
    </row>
    <row r="44" spans="1:12" ht="15.75" hidden="1" customHeight="1">
      <c r="A44" s="6" t="str">
        <f>'SAP Results'!A44</f>
        <v>3</v>
      </c>
      <c r="B44" s="5">
        <f>'SAP Results'!B44</f>
        <v>0</v>
      </c>
      <c r="C44" s="6" t="str">
        <f>'SAP Results'!C44</f>
        <v>Q-2</v>
      </c>
      <c r="D44" s="6" t="str">
        <f>'SAP Results'!D44</f>
        <v>LinStatic</v>
      </c>
      <c r="E44" s="5">
        <f>'SAP Results'!E44</f>
        <v>-77.08</v>
      </c>
      <c r="F44" s="5">
        <f>'SAP Results'!F44</f>
        <v>16.934000000000001</v>
      </c>
      <c r="G44" s="5">
        <f>'SAP Results'!G44</f>
        <v>0</v>
      </c>
      <c r="H44" s="5">
        <f>'SAP Results'!H44</f>
        <v>0</v>
      </c>
      <c r="I44" s="5">
        <f>'SAP Results'!I44</f>
        <v>0</v>
      </c>
      <c r="J44" s="5">
        <f>'SAP Results'!J44</f>
        <v>25.051600000000001</v>
      </c>
      <c r="K44" s="6" t="str">
        <f>'SAP Results'!K44</f>
        <v>3-1</v>
      </c>
      <c r="L44" s="5">
        <f>'SAP Results'!L44</f>
        <v>0</v>
      </c>
    </row>
    <row r="45" spans="1:12" ht="15.75" hidden="1" customHeight="1">
      <c r="A45" s="6" t="str">
        <f>'SAP Results'!A45</f>
        <v>3</v>
      </c>
      <c r="B45" s="5">
        <f>'SAP Results'!B45</f>
        <v>2.6</v>
      </c>
      <c r="C45" s="6" t="str">
        <f>'SAP Results'!C45</f>
        <v>Q-2</v>
      </c>
      <c r="D45" s="6" t="str">
        <f>'SAP Results'!D45</f>
        <v>LinStatic</v>
      </c>
      <c r="E45" s="5">
        <f>'SAP Results'!E45</f>
        <v>-77.08</v>
      </c>
      <c r="F45" s="5">
        <f>'SAP Results'!F45</f>
        <v>16.934000000000001</v>
      </c>
      <c r="G45" s="5">
        <f>'SAP Results'!G45</f>
        <v>0</v>
      </c>
      <c r="H45" s="5">
        <f>'SAP Results'!H45</f>
        <v>0</v>
      </c>
      <c r="I45" s="5">
        <f>'SAP Results'!I45</f>
        <v>0</v>
      </c>
      <c r="J45" s="5">
        <f>'SAP Results'!J45</f>
        <v>-18.976500000000001</v>
      </c>
      <c r="K45" s="6" t="str">
        <f>'SAP Results'!K45</f>
        <v>3-1</v>
      </c>
      <c r="L45" s="5">
        <f>'SAP Results'!L45</f>
        <v>2.6</v>
      </c>
    </row>
    <row r="46" spans="1:12" ht="15.75" hidden="1" customHeight="1">
      <c r="A46" s="6" t="str">
        <f>'SAP Results'!A46</f>
        <v>3</v>
      </c>
      <c r="B46" s="5">
        <f>'SAP Results'!B46</f>
        <v>5.2</v>
      </c>
      <c r="C46" s="6" t="str">
        <f>'SAP Results'!C46</f>
        <v>Q-2</v>
      </c>
      <c r="D46" s="6" t="str">
        <f>'SAP Results'!D46</f>
        <v>LinStatic</v>
      </c>
      <c r="E46" s="5">
        <f>'SAP Results'!E46</f>
        <v>-77.08</v>
      </c>
      <c r="F46" s="5">
        <f>'SAP Results'!F46</f>
        <v>16.934000000000001</v>
      </c>
      <c r="G46" s="5">
        <f>'SAP Results'!G46</f>
        <v>0</v>
      </c>
      <c r="H46" s="5">
        <f>'SAP Results'!H46</f>
        <v>0</v>
      </c>
      <c r="I46" s="5">
        <f>'SAP Results'!I46</f>
        <v>0</v>
      </c>
      <c r="J46" s="5">
        <f>'SAP Results'!J46</f>
        <v>-63.004600000000003</v>
      </c>
      <c r="K46" s="6" t="str">
        <f>'SAP Results'!K46</f>
        <v>3-1</v>
      </c>
      <c r="L46" s="5">
        <f>'SAP Results'!L46</f>
        <v>5.2</v>
      </c>
    </row>
    <row r="47" spans="1:12" ht="15.75" customHeight="1">
      <c r="A47" s="6" t="str">
        <f>'SAP Results'!A47</f>
        <v>4</v>
      </c>
      <c r="B47" s="5">
        <f>'SAP Results'!B47</f>
        <v>0</v>
      </c>
      <c r="C47" s="6" t="str">
        <f>'SAP Results'!C47</f>
        <v>EX</v>
      </c>
      <c r="D47" s="6" t="str">
        <f>'SAP Results'!D47</f>
        <v>LinStatic</v>
      </c>
      <c r="E47" s="5">
        <f>'SAP Results'!E47</f>
        <v>0</v>
      </c>
      <c r="F47" s="5">
        <f>'SAP Results'!F47</f>
        <v>18.693999999999999</v>
      </c>
      <c r="G47" s="5">
        <f>'SAP Results'!G47</f>
        <v>0</v>
      </c>
      <c r="H47" s="5">
        <f>'SAP Results'!H47</f>
        <v>0</v>
      </c>
      <c r="I47" s="5">
        <f>'SAP Results'!I47</f>
        <v>0</v>
      </c>
      <c r="J47" s="5">
        <f>'SAP Results'!J47</f>
        <v>85.904799999999994</v>
      </c>
      <c r="K47" s="6" t="str">
        <f>'SAP Results'!K47</f>
        <v>4-1</v>
      </c>
      <c r="L47" s="5">
        <f>'SAP Results'!L47</f>
        <v>0</v>
      </c>
    </row>
    <row r="48" spans="1:12" ht="15.75" customHeight="1">
      <c r="A48" s="6" t="str">
        <f>'SAP Results'!A48</f>
        <v>4</v>
      </c>
      <c r="B48" s="5">
        <f>'SAP Results'!B48</f>
        <v>1.0062500000000001</v>
      </c>
      <c r="C48" s="6" t="str">
        <f>'SAP Results'!C48</f>
        <v>EX</v>
      </c>
      <c r="D48" s="6" t="str">
        <f>'SAP Results'!D48</f>
        <v>LinStatic</v>
      </c>
      <c r="E48" s="5">
        <f>'SAP Results'!E48</f>
        <v>0</v>
      </c>
      <c r="F48" s="5">
        <f>'SAP Results'!F48</f>
        <v>18.693999999999999</v>
      </c>
      <c r="G48" s="5">
        <f>'SAP Results'!G48</f>
        <v>0</v>
      </c>
      <c r="H48" s="5">
        <f>'SAP Results'!H48</f>
        <v>0</v>
      </c>
      <c r="I48" s="5">
        <f>'SAP Results'!I48</f>
        <v>0</v>
      </c>
      <c r="J48" s="5">
        <f>'SAP Results'!J48</f>
        <v>67.094200000000001</v>
      </c>
      <c r="K48" s="6" t="str">
        <f>'SAP Results'!K48</f>
        <v>4-1</v>
      </c>
      <c r="L48" s="5">
        <f>'SAP Results'!L48</f>
        <v>1.0062500000000001</v>
      </c>
    </row>
    <row r="49" spans="1:12" ht="15.75" customHeight="1">
      <c r="A49" s="6" t="str">
        <f>'SAP Results'!A49</f>
        <v>4</v>
      </c>
      <c r="B49" s="5">
        <f>'SAP Results'!B49</f>
        <v>2.0125000000000002</v>
      </c>
      <c r="C49" s="6" t="str">
        <f>'SAP Results'!C49</f>
        <v>EX</v>
      </c>
      <c r="D49" s="6" t="str">
        <f>'SAP Results'!D49</f>
        <v>LinStatic</v>
      </c>
      <c r="E49" s="5">
        <f>'SAP Results'!E49</f>
        <v>0</v>
      </c>
      <c r="F49" s="5">
        <f>'SAP Results'!F49</f>
        <v>18.693999999999999</v>
      </c>
      <c r="G49" s="5">
        <f>'SAP Results'!G49</f>
        <v>0</v>
      </c>
      <c r="H49" s="5">
        <f>'SAP Results'!H49</f>
        <v>0</v>
      </c>
      <c r="I49" s="5">
        <f>'SAP Results'!I49</f>
        <v>0</v>
      </c>
      <c r="J49" s="5">
        <f>'SAP Results'!J49</f>
        <v>48.283700000000003</v>
      </c>
      <c r="K49" s="6" t="str">
        <f>'SAP Results'!K49</f>
        <v>4-1</v>
      </c>
      <c r="L49" s="5">
        <f>'SAP Results'!L49</f>
        <v>2.0125000000000002</v>
      </c>
    </row>
    <row r="50" spans="1:12" ht="15.75" customHeight="1">
      <c r="A50" s="6" t="str">
        <f>'SAP Results'!A50</f>
        <v>4</v>
      </c>
      <c r="B50" s="5">
        <f>'SAP Results'!B50</f>
        <v>3.0187499999999998</v>
      </c>
      <c r="C50" s="6" t="str">
        <f>'SAP Results'!C50</f>
        <v>EX</v>
      </c>
      <c r="D50" s="6" t="str">
        <f>'SAP Results'!D50</f>
        <v>LinStatic</v>
      </c>
      <c r="E50" s="5">
        <f>'SAP Results'!E50</f>
        <v>0</v>
      </c>
      <c r="F50" s="5">
        <f>'SAP Results'!F50</f>
        <v>18.693999999999999</v>
      </c>
      <c r="G50" s="5">
        <f>'SAP Results'!G50</f>
        <v>0</v>
      </c>
      <c r="H50" s="5">
        <f>'SAP Results'!H50</f>
        <v>0</v>
      </c>
      <c r="I50" s="5">
        <f>'SAP Results'!I50</f>
        <v>0</v>
      </c>
      <c r="J50" s="5">
        <f>'SAP Results'!J50</f>
        <v>29.473199999999999</v>
      </c>
      <c r="K50" s="6" t="str">
        <f>'SAP Results'!K50</f>
        <v>4-1</v>
      </c>
      <c r="L50" s="5">
        <f>'SAP Results'!L50</f>
        <v>3.0187499999999998</v>
      </c>
    </row>
    <row r="51" spans="1:12" ht="15.75" customHeight="1">
      <c r="A51" s="6" t="str">
        <f>'SAP Results'!A51</f>
        <v>4</v>
      </c>
      <c r="B51" s="5">
        <f>'SAP Results'!B51</f>
        <v>4.0250000000000004</v>
      </c>
      <c r="C51" s="6" t="str">
        <f>'SAP Results'!C51</f>
        <v>EX</v>
      </c>
      <c r="D51" s="6" t="str">
        <f>'SAP Results'!D51</f>
        <v>LinStatic</v>
      </c>
      <c r="E51" s="5">
        <f>'SAP Results'!E51</f>
        <v>0</v>
      </c>
      <c r="F51" s="5">
        <f>'SAP Results'!F51</f>
        <v>18.693999999999999</v>
      </c>
      <c r="G51" s="5">
        <f>'SAP Results'!G51</f>
        <v>0</v>
      </c>
      <c r="H51" s="5">
        <f>'SAP Results'!H51</f>
        <v>0</v>
      </c>
      <c r="I51" s="5">
        <f>'SAP Results'!I51</f>
        <v>0</v>
      </c>
      <c r="J51" s="5">
        <f>'SAP Results'!J51</f>
        <v>10.662599999999999</v>
      </c>
      <c r="K51" s="6" t="str">
        <f>'SAP Results'!K51</f>
        <v>4-1</v>
      </c>
      <c r="L51" s="5">
        <f>'SAP Results'!L51</f>
        <v>4.0250000000000004</v>
      </c>
    </row>
    <row r="52" spans="1:12" ht="15.75" customHeight="1">
      <c r="A52" s="6" t="str">
        <f>'SAP Results'!A52</f>
        <v>4</v>
      </c>
      <c r="B52" s="5">
        <f>'SAP Results'!B52</f>
        <v>5.03125</v>
      </c>
      <c r="C52" s="6" t="str">
        <f>'SAP Results'!C52</f>
        <v>EX</v>
      </c>
      <c r="D52" s="6" t="str">
        <f>'SAP Results'!D52</f>
        <v>LinStatic</v>
      </c>
      <c r="E52" s="5">
        <f>'SAP Results'!E52</f>
        <v>0</v>
      </c>
      <c r="F52" s="5">
        <f>'SAP Results'!F52</f>
        <v>18.693999999999999</v>
      </c>
      <c r="G52" s="5">
        <f>'SAP Results'!G52</f>
        <v>0</v>
      </c>
      <c r="H52" s="5">
        <f>'SAP Results'!H52</f>
        <v>0</v>
      </c>
      <c r="I52" s="5">
        <f>'SAP Results'!I52</f>
        <v>0</v>
      </c>
      <c r="J52" s="5">
        <f>'SAP Results'!J52</f>
        <v>-8.1478999999999999</v>
      </c>
      <c r="K52" s="6" t="str">
        <f>'SAP Results'!K52</f>
        <v>4-1</v>
      </c>
      <c r="L52" s="5">
        <f>'SAP Results'!L52</f>
        <v>5.03125</v>
      </c>
    </row>
    <row r="53" spans="1:12" ht="15.75" customHeight="1">
      <c r="A53" s="6" t="str">
        <f>'SAP Results'!A53</f>
        <v>4</v>
      </c>
      <c r="B53" s="5">
        <f>'SAP Results'!B53</f>
        <v>6.0374999999999996</v>
      </c>
      <c r="C53" s="6" t="str">
        <f>'SAP Results'!C53</f>
        <v>EX</v>
      </c>
      <c r="D53" s="6" t="str">
        <f>'SAP Results'!D53</f>
        <v>LinStatic</v>
      </c>
      <c r="E53" s="5">
        <f>'SAP Results'!E53</f>
        <v>0</v>
      </c>
      <c r="F53" s="5">
        <f>'SAP Results'!F53</f>
        <v>18.693999999999999</v>
      </c>
      <c r="G53" s="5">
        <f>'SAP Results'!G53</f>
        <v>0</v>
      </c>
      <c r="H53" s="5">
        <f>'SAP Results'!H53</f>
        <v>0</v>
      </c>
      <c r="I53" s="5">
        <f>'SAP Results'!I53</f>
        <v>0</v>
      </c>
      <c r="J53" s="5">
        <f>'SAP Results'!J53</f>
        <v>-26.958400000000001</v>
      </c>
      <c r="K53" s="6" t="str">
        <f>'SAP Results'!K53</f>
        <v>4-1</v>
      </c>
      <c r="L53" s="5">
        <f>'SAP Results'!L53</f>
        <v>6.0374999999999996</v>
      </c>
    </row>
    <row r="54" spans="1:12" ht="15.75" customHeight="1">
      <c r="A54" s="6" t="str">
        <f>'SAP Results'!A54</f>
        <v>4</v>
      </c>
      <c r="B54" s="5">
        <f>'SAP Results'!B54</f>
        <v>7.0437500000000002</v>
      </c>
      <c r="C54" s="6" t="str">
        <f>'SAP Results'!C54</f>
        <v>EX</v>
      </c>
      <c r="D54" s="6" t="str">
        <f>'SAP Results'!D54</f>
        <v>LinStatic</v>
      </c>
      <c r="E54" s="5">
        <f>'SAP Results'!E54</f>
        <v>0</v>
      </c>
      <c r="F54" s="5">
        <f>'SAP Results'!F54</f>
        <v>18.693999999999999</v>
      </c>
      <c r="G54" s="5">
        <f>'SAP Results'!G54</f>
        <v>0</v>
      </c>
      <c r="H54" s="5">
        <f>'SAP Results'!H54</f>
        <v>0</v>
      </c>
      <c r="I54" s="5">
        <f>'SAP Results'!I54</f>
        <v>0</v>
      </c>
      <c r="J54" s="5">
        <f>'SAP Results'!J54</f>
        <v>-45.768900000000002</v>
      </c>
      <c r="K54" s="6" t="str">
        <f>'SAP Results'!K54</f>
        <v>4-1</v>
      </c>
      <c r="L54" s="5">
        <f>'SAP Results'!L54</f>
        <v>7.0437500000000002</v>
      </c>
    </row>
    <row r="55" spans="1:12" ht="15.75" customHeight="1">
      <c r="A55" s="6" t="str">
        <f>'SAP Results'!A55</f>
        <v>4</v>
      </c>
      <c r="B55" s="5">
        <f>'SAP Results'!B55</f>
        <v>8.0500000000000007</v>
      </c>
      <c r="C55" s="6" t="str">
        <f>'SAP Results'!C55</f>
        <v>EX</v>
      </c>
      <c r="D55" s="6" t="str">
        <f>'SAP Results'!D55</f>
        <v>LinStatic</v>
      </c>
      <c r="E55" s="5">
        <f>'SAP Results'!E55</f>
        <v>0</v>
      </c>
      <c r="F55" s="5">
        <f>'SAP Results'!F55</f>
        <v>18.693999999999999</v>
      </c>
      <c r="G55" s="5">
        <f>'SAP Results'!G55</f>
        <v>0</v>
      </c>
      <c r="H55" s="5">
        <f>'SAP Results'!H55</f>
        <v>0</v>
      </c>
      <c r="I55" s="5">
        <f>'SAP Results'!I55</f>
        <v>0</v>
      </c>
      <c r="J55" s="5">
        <f>'SAP Results'!J55</f>
        <v>-64.579499999999996</v>
      </c>
      <c r="K55" s="6" t="str">
        <f>'SAP Results'!K55</f>
        <v>4-1</v>
      </c>
      <c r="L55" s="5">
        <f>'SAP Results'!L55</f>
        <v>8.0500000000000007</v>
      </c>
    </row>
    <row r="56" spans="1:12" ht="15.75" hidden="1" customHeight="1">
      <c r="A56" s="6" t="str">
        <f>'SAP Results'!A56</f>
        <v>4</v>
      </c>
      <c r="B56" s="5">
        <f>'SAP Results'!B56</f>
        <v>0</v>
      </c>
      <c r="C56" s="6" t="str">
        <f>'SAP Results'!C56</f>
        <v>G-1</v>
      </c>
      <c r="D56" s="6" t="str">
        <f>'SAP Results'!D56</f>
        <v>LinStatic</v>
      </c>
      <c r="E56" s="5">
        <f>'SAP Results'!E56</f>
        <v>0</v>
      </c>
      <c r="F56" s="5">
        <f>'SAP Results'!F56</f>
        <v>-152.78200000000001</v>
      </c>
      <c r="G56" s="5">
        <f>'SAP Results'!G56</f>
        <v>0</v>
      </c>
      <c r="H56" s="5">
        <f>'SAP Results'!H56</f>
        <v>0</v>
      </c>
      <c r="I56" s="5">
        <f>'SAP Results'!I56</f>
        <v>0</v>
      </c>
      <c r="J56" s="5">
        <f>'SAP Results'!J56</f>
        <v>-124.8822</v>
      </c>
      <c r="K56" s="6" t="str">
        <f>'SAP Results'!K56</f>
        <v>4-1</v>
      </c>
      <c r="L56" s="5">
        <f>'SAP Results'!L56</f>
        <v>0</v>
      </c>
    </row>
    <row r="57" spans="1:12" ht="15.75" hidden="1" customHeight="1">
      <c r="A57" s="6" t="str">
        <f>'SAP Results'!A57</f>
        <v>4</v>
      </c>
      <c r="B57" s="5">
        <f>'SAP Results'!B57</f>
        <v>1.0062500000000001</v>
      </c>
      <c r="C57" s="6" t="str">
        <f>'SAP Results'!C57</f>
        <v>G-1</v>
      </c>
      <c r="D57" s="6" t="str">
        <f>'SAP Results'!D57</f>
        <v>LinStatic</v>
      </c>
      <c r="E57" s="5">
        <f>'SAP Results'!E57</f>
        <v>0</v>
      </c>
      <c r="F57" s="5">
        <f>'SAP Results'!F57</f>
        <v>-112.642</v>
      </c>
      <c r="G57" s="5">
        <f>'SAP Results'!G57</f>
        <v>0</v>
      </c>
      <c r="H57" s="5">
        <f>'SAP Results'!H57</f>
        <v>0</v>
      </c>
      <c r="I57" s="5">
        <f>'SAP Results'!I57</f>
        <v>0</v>
      </c>
      <c r="J57" s="5">
        <f>'SAP Results'!J57</f>
        <v>8.6593</v>
      </c>
      <c r="K57" s="6" t="str">
        <f>'SAP Results'!K57</f>
        <v>4-1</v>
      </c>
      <c r="L57" s="5">
        <f>'SAP Results'!L57</f>
        <v>1.0062500000000001</v>
      </c>
    </row>
    <row r="58" spans="1:12" ht="15.75" hidden="1" customHeight="1">
      <c r="A58" s="6" t="str">
        <f>'SAP Results'!A58</f>
        <v>4</v>
      </c>
      <c r="B58" s="5">
        <f>'SAP Results'!B58</f>
        <v>2.0125000000000002</v>
      </c>
      <c r="C58" s="6" t="str">
        <f>'SAP Results'!C58</f>
        <v>G-1</v>
      </c>
      <c r="D58" s="6" t="str">
        <f>'SAP Results'!D58</f>
        <v>LinStatic</v>
      </c>
      <c r="E58" s="5">
        <f>'SAP Results'!E58</f>
        <v>0</v>
      </c>
      <c r="F58" s="5">
        <f>'SAP Results'!F58</f>
        <v>-72.503</v>
      </c>
      <c r="G58" s="5">
        <f>'SAP Results'!G58</f>
        <v>0</v>
      </c>
      <c r="H58" s="5">
        <f>'SAP Results'!H58</f>
        <v>0</v>
      </c>
      <c r="I58" s="5">
        <f>'SAP Results'!I58</f>
        <v>0</v>
      </c>
      <c r="J58" s="5">
        <f>'SAP Results'!J58</f>
        <v>101.81059999999999</v>
      </c>
      <c r="K58" s="6" t="str">
        <f>'SAP Results'!K58</f>
        <v>4-1</v>
      </c>
      <c r="L58" s="5">
        <f>'SAP Results'!L58</f>
        <v>2.0125000000000002</v>
      </c>
    </row>
    <row r="59" spans="1:12" ht="15.75" hidden="1" customHeight="1">
      <c r="A59" s="6" t="str">
        <f>'SAP Results'!A59</f>
        <v>4</v>
      </c>
      <c r="B59" s="5">
        <f>'SAP Results'!B59</f>
        <v>3.0187499999999998</v>
      </c>
      <c r="C59" s="6" t="str">
        <f>'SAP Results'!C59</f>
        <v>G-1</v>
      </c>
      <c r="D59" s="6" t="str">
        <f>'SAP Results'!D59</f>
        <v>LinStatic</v>
      </c>
      <c r="E59" s="5">
        <f>'SAP Results'!E59</f>
        <v>0</v>
      </c>
      <c r="F59" s="5">
        <f>'SAP Results'!F59</f>
        <v>-32.363999999999997</v>
      </c>
      <c r="G59" s="5">
        <f>'SAP Results'!G59</f>
        <v>0</v>
      </c>
      <c r="H59" s="5">
        <f>'SAP Results'!H59</f>
        <v>0</v>
      </c>
      <c r="I59" s="5">
        <f>'SAP Results'!I59</f>
        <v>0</v>
      </c>
      <c r="J59" s="5">
        <f>'SAP Results'!J59</f>
        <v>154.5718</v>
      </c>
      <c r="K59" s="6" t="str">
        <f>'SAP Results'!K59</f>
        <v>4-1</v>
      </c>
      <c r="L59" s="5">
        <f>'SAP Results'!L59</f>
        <v>3.0187499999999998</v>
      </c>
    </row>
    <row r="60" spans="1:12" ht="15.75" hidden="1" customHeight="1">
      <c r="A60" s="6" t="str">
        <f>'SAP Results'!A60</f>
        <v>4</v>
      </c>
      <c r="B60" s="5">
        <f>'SAP Results'!B60</f>
        <v>4.0250000000000004</v>
      </c>
      <c r="C60" s="6" t="str">
        <f>'SAP Results'!C60</f>
        <v>G-1</v>
      </c>
      <c r="D60" s="6" t="str">
        <f>'SAP Results'!D60</f>
        <v>LinStatic</v>
      </c>
      <c r="E60" s="5">
        <f>'SAP Results'!E60</f>
        <v>0</v>
      </c>
      <c r="F60" s="5">
        <f>'SAP Results'!F60</f>
        <v>7.7759999999999998</v>
      </c>
      <c r="G60" s="5">
        <f>'SAP Results'!G60</f>
        <v>0</v>
      </c>
      <c r="H60" s="5">
        <f>'SAP Results'!H60</f>
        <v>0</v>
      </c>
      <c r="I60" s="5">
        <f>'SAP Results'!I60</f>
        <v>0</v>
      </c>
      <c r="J60" s="5">
        <f>'SAP Results'!J60</f>
        <v>166.9427</v>
      </c>
      <c r="K60" s="6" t="str">
        <f>'SAP Results'!K60</f>
        <v>4-1</v>
      </c>
      <c r="L60" s="5">
        <f>'SAP Results'!L60</f>
        <v>4.0250000000000004</v>
      </c>
    </row>
    <row r="61" spans="1:12" ht="15.75" hidden="1" customHeight="1">
      <c r="A61" s="6" t="str">
        <f>'SAP Results'!A61</f>
        <v>4</v>
      </c>
      <c r="B61" s="5">
        <f>'SAP Results'!B61</f>
        <v>5.03125</v>
      </c>
      <c r="C61" s="6" t="str">
        <f>'SAP Results'!C61</f>
        <v>G-1</v>
      </c>
      <c r="D61" s="6" t="str">
        <f>'SAP Results'!D61</f>
        <v>LinStatic</v>
      </c>
      <c r="E61" s="5">
        <f>'SAP Results'!E61</f>
        <v>0</v>
      </c>
      <c r="F61" s="5">
        <f>'SAP Results'!F61</f>
        <v>47.914999999999999</v>
      </c>
      <c r="G61" s="5">
        <f>'SAP Results'!G61</f>
        <v>0</v>
      </c>
      <c r="H61" s="5">
        <f>'SAP Results'!H61</f>
        <v>0</v>
      </c>
      <c r="I61" s="5">
        <f>'SAP Results'!I61</f>
        <v>0</v>
      </c>
      <c r="J61" s="5">
        <f>'SAP Results'!J61</f>
        <v>138.92349999999999</v>
      </c>
      <c r="K61" s="6" t="str">
        <f>'SAP Results'!K61</f>
        <v>4-1</v>
      </c>
      <c r="L61" s="5">
        <f>'SAP Results'!L61</f>
        <v>5.03125</v>
      </c>
    </row>
    <row r="62" spans="1:12" ht="15.75" hidden="1" customHeight="1">
      <c r="A62" s="6" t="str">
        <f>'SAP Results'!A62</f>
        <v>4</v>
      </c>
      <c r="B62" s="5">
        <f>'SAP Results'!B62</f>
        <v>6.0374999999999996</v>
      </c>
      <c r="C62" s="6" t="str">
        <f>'SAP Results'!C62</f>
        <v>G-1</v>
      </c>
      <c r="D62" s="6" t="str">
        <f>'SAP Results'!D62</f>
        <v>LinStatic</v>
      </c>
      <c r="E62" s="5">
        <f>'SAP Results'!E62</f>
        <v>0</v>
      </c>
      <c r="F62" s="5">
        <f>'SAP Results'!F62</f>
        <v>88.054000000000002</v>
      </c>
      <c r="G62" s="5">
        <f>'SAP Results'!G62</f>
        <v>0</v>
      </c>
      <c r="H62" s="5">
        <f>'SAP Results'!H62</f>
        <v>0</v>
      </c>
      <c r="I62" s="5">
        <f>'SAP Results'!I62</f>
        <v>0</v>
      </c>
      <c r="J62" s="5">
        <f>'SAP Results'!J62</f>
        <v>70.514099999999999</v>
      </c>
      <c r="K62" s="6" t="str">
        <f>'SAP Results'!K62</f>
        <v>4-1</v>
      </c>
      <c r="L62" s="5">
        <f>'SAP Results'!L62</f>
        <v>6.0374999999999996</v>
      </c>
    </row>
    <row r="63" spans="1:12" ht="15.75" hidden="1" customHeight="1">
      <c r="A63" s="6" t="str">
        <f>'SAP Results'!A63</f>
        <v>4</v>
      </c>
      <c r="B63" s="5">
        <f>'SAP Results'!B63</f>
        <v>7.0437500000000002</v>
      </c>
      <c r="C63" s="6" t="str">
        <f>'SAP Results'!C63</f>
        <v>G-1</v>
      </c>
      <c r="D63" s="6" t="str">
        <f>'SAP Results'!D63</f>
        <v>LinStatic</v>
      </c>
      <c r="E63" s="5">
        <f>'SAP Results'!E63</f>
        <v>0</v>
      </c>
      <c r="F63" s="5">
        <f>'SAP Results'!F63</f>
        <v>128.19300000000001</v>
      </c>
      <c r="G63" s="5">
        <f>'SAP Results'!G63</f>
        <v>0</v>
      </c>
      <c r="H63" s="5">
        <f>'SAP Results'!H63</f>
        <v>0</v>
      </c>
      <c r="I63" s="5">
        <f>'SAP Results'!I63</f>
        <v>0</v>
      </c>
      <c r="J63" s="5">
        <f>'SAP Results'!J63</f>
        <v>-38.285499999999999</v>
      </c>
      <c r="K63" s="6" t="str">
        <f>'SAP Results'!K63</f>
        <v>4-1</v>
      </c>
      <c r="L63" s="5">
        <f>'SAP Results'!L63</f>
        <v>7.0437500000000002</v>
      </c>
    </row>
    <row r="64" spans="1:12" ht="15.75" hidden="1" customHeight="1">
      <c r="A64" s="6" t="str">
        <f>'SAP Results'!A64</f>
        <v>4</v>
      </c>
      <c r="B64" s="5">
        <f>'SAP Results'!B64</f>
        <v>8.0500000000000007</v>
      </c>
      <c r="C64" s="6" t="str">
        <f>'SAP Results'!C64</f>
        <v>G-1</v>
      </c>
      <c r="D64" s="6" t="str">
        <f>'SAP Results'!D64</f>
        <v>LinStatic</v>
      </c>
      <c r="E64" s="5">
        <f>'SAP Results'!E64</f>
        <v>0</v>
      </c>
      <c r="F64" s="5">
        <f>'SAP Results'!F64</f>
        <v>168.333</v>
      </c>
      <c r="G64" s="5">
        <f>'SAP Results'!G64</f>
        <v>0</v>
      </c>
      <c r="H64" s="5">
        <f>'SAP Results'!H64</f>
        <v>0</v>
      </c>
      <c r="I64" s="5">
        <f>'SAP Results'!I64</f>
        <v>0</v>
      </c>
      <c r="J64" s="5">
        <f>'SAP Results'!J64</f>
        <v>-187.4752</v>
      </c>
      <c r="K64" s="6" t="str">
        <f>'SAP Results'!K64</f>
        <v>4-1</v>
      </c>
      <c r="L64" s="5">
        <f>'SAP Results'!L64</f>
        <v>8.0500000000000007</v>
      </c>
    </row>
    <row r="65" spans="1:12" ht="15.75" hidden="1" customHeight="1">
      <c r="A65" s="6" t="str">
        <f>'SAP Results'!A65</f>
        <v>4</v>
      </c>
      <c r="B65" s="5">
        <f>'SAP Results'!B65</f>
        <v>0</v>
      </c>
      <c r="C65" s="6" t="str">
        <f>'SAP Results'!C65</f>
        <v>G-2</v>
      </c>
      <c r="D65" s="6" t="str">
        <f>'SAP Results'!D65</f>
        <v>LinStatic</v>
      </c>
      <c r="E65" s="5">
        <f>'SAP Results'!E65</f>
        <v>0</v>
      </c>
      <c r="F65" s="5">
        <f>'SAP Results'!F65</f>
        <v>10.212999999999999</v>
      </c>
      <c r="G65" s="5">
        <f>'SAP Results'!G65</f>
        <v>0</v>
      </c>
      <c r="H65" s="5">
        <f>'SAP Results'!H65</f>
        <v>0</v>
      </c>
      <c r="I65" s="5">
        <f>'SAP Results'!I65</f>
        <v>0</v>
      </c>
      <c r="J65" s="5">
        <f>'SAP Results'!J65</f>
        <v>10.154299999999999</v>
      </c>
      <c r="K65" s="6" t="str">
        <f>'SAP Results'!K65</f>
        <v>4-1</v>
      </c>
      <c r="L65" s="5">
        <f>'SAP Results'!L65</f>
        <v>0</v>
      </c>
    </row>
    <row r="66" spans="1:12" ht="15.75" hidden="1" customHeight="1">
      <c r="A66" s="6" t="str">
        <f>'SAP Results'!A66</f>
        <v>4</v>
      </c>
      <c r="B66" s="5">
        <f>'SAP Results'!B66</f>
        <v>1.0062500000000001</v>
      </c>
      <c r="C66" s="6" t="str">
        <f>'SAP Results'!C66</f>
        <v>G-2</v>
      </c>
      <c r="D66" s="6" t="str">
        <f>'SAP Results'!D66</f>
        <v>LinStatic</v>
      </c>
      <c r="E66" s="5">
        <f>'SAP Results'!E66</f>
        <v>0</v>
      </c>
      <c r="F66" s="5">
        <f>'SAP Results'!F66</f>
        <v>10.212999999999999</v>
      </c>
      <c r="G66" s="5">
        <f>'SAP Results'!G66</f>
        <v>0</v>
      </c>
      <c r="H66" s="5">
        <f>'SAP Results'!H66</f>
        <v>0</v>
      </c>
      <c r="I66" s="5">
        <f>'SAP Results'!I66</f>
        <v>0</v>
      </c>
      <c r="J66" s="5">
        <f>'SAP Results'!J66</f>
        <v>-0.1227</v>
      </c>
      <c r="K66" s="6" t="str">
        <f>'SAP Results'!K66</f>
        <v>4-1</v>
      </c>
      <c r="L66" s="5">
        <f>'SAP Results'!L66</f>
        <v>1.0062500000000001</v>
      </c>
    </row>
    <row r="67" spans="1:12" ht="15.75" hidden="1" customHeight="1">
      <c r="A67" s="6" t="str">
        <f>'SAP Results'!A67</f>
        <v>4</v>
      </c>
      <c r="B67" s="5">
        <f>'SAP Results'!B67</f>
        <v>2.0125000000000002</v>
      </c>
      <c r="C67" s="6" t="str">
        <f>'SAP Results'!C67</f>
        <v>G-2</v>
      </c>
      <c r="D67" s="6" t="str">
        <f>'SAP Results'!D67</f>
        <v>LinStatic</v>
      </c>
      <c r="E67" s="5">
        <f>'SAP Results'!E67</f>
        <v>0</v>
      </c>
      <c r="F67" s="5">
        <f>'SAP Results'!F67</f>
        <v>10.212999999999999</v>
      </c>
      <c r="G67" s="5">
        <f>'SAP Results'!G67</f>
        <v>0</v>
      </c>
      <c r="H67" s="5">
        <f>'SAP Results'!H67</f>
        <v>0</v>
      </c>
      <c r="I67" s="5">
        <f>'SAP Results'!I67</f>
        <v>0</v>
      </c>
      <c r="J67" s="5">
        <f>'SAP Results'!J67</f>
        <v>-10.399800000000001</v>
      </c>
      <c r="K67" s="6" t="str">
        <f>'SAP Results'!K67</f>
        <v>4-1</v>
      </c>
      <c r="L67" s="5">
        <f>'SAP Results'!L67</f>
        <v>2.0125000000000002</v>
      </c>
    </row>
    <row r="68" spans="1:12" ht="15.75" hidden="1" customHeight="1">
      <c r="A68" s="6" t="str">
        <f>'SAP Results'!A68</f>
        <v>4</v>
      </c>
      <c r="B68" s="5">
        <f>'SAP Results'!B68</f>
        <v>3.0187499999999998</v>
      </c>
      <c r="C68" s="6" t="str">
        <f>'SAP Results'!C68</f>
        <v>G-2</v>
      </c>
      <c r="D68" s="6" t="str">
        <f>'SAP Results'!D68</f>
        <v>LinStatic</v>
      </c>
      <c r="E68" s="5">
        <f>'SAP Results'!E68</f>
        <v>0</v>
      </c>
      <c r="F68" s="5">
        <f>'SAP Results'!F68</f>
        <v>10.212999999999999</v>
      </c>
      <c r="G68" s="5">
        <f>'SAP Results'!G68</f>
        <v>0</v>
      </c>
      <c r="H68" s="5">
        <f>'SAP Results'!H68</f>
        <v>0</v>
      </c>
      <c r="I68" s="5">
        <f>'SAP Results'!I68</f>
        <v>0</v>
      </c>
      <c r="J68" s="5">
        <f>'SAP Results'!J68</f>
        <v>-20.6768</v>
      </c>
      <c r="K68" s="6" t="str">
        <f>'SAP Results'!K68</f>
        <v>4-1</v>
      </c>
      <c r="L68" s="5">
        <f>'SAP Results'!L68</f>
        <v>3.0187499999999998</v>
      </c>
    </row>
    <row r="69" spans="1:12" ht="15.75" hidden="1" customHeight="1">
      <c r="A69" s="6" t="str">
        <f>'SAP Results'!A69</f>
        <v>4</v>
      </c>
      <c r="B69" s="5">
        <f>'SAP Results'!B69</f>
        <v>4.0250000000000004</v>
      </c>
      <c r="C69" s="6" t="str">
        <f>'SAP Results'!C69</f>
        <v>G-2</v>
      </c>
      <c r="D69" s="6" t="str">
        <f>'SAP Results'!D69</f>
        <v>LinStatic</v>
      </c>
      <c r="E69" s="5">
        <f>'SAP Results'!E69</f>
        <v>0</v>
      </c>
      <c r="F69" s="5">
        <f>'SAP Results'!F69</f>
        <v>10.212999999999999</v>
      </c>
      <c r="G69" s="5">
        <f>'SAP Results'!G69</f>
        <v>0</v>
      </c>
      <c r="H69" s="5">
        <f>'SAP Results'!H69</f>
        <v>0</v>
      </c>
      <c r="I69" s="5">
        <f>'SAP Results'!I69</f>
        <v>0</v>
      </c>
      <c r="J69" s="5">
        <f>'SAP Results'!J69</f>
        <v>-30.953800000000001</v>
      </c>
      <c r="K69" s="6" t="str">
        <f>'SAP Results'!K69</f>
        <v>4-1</v>
      </c>
      <c r="L69" s="5">
        <f>'SAP Results'!L69</f>
        <v>4.0250000000000004</v>
      </c>
    </row>
    <row r="70" spans="1:12" ht="15.75" hidden="1" customHeight="1">
      <c r="A70" s="6" t="str">
        <f>'SAP Results'!A70</f>
        <v>4</v>
      </c>
      <c r="B70" s="5">
        <f>'SAP Results'!B70</f>
        <v>5.03125</v>
      </c>
      <c r="C70" s="6" t="str">
        <f>'SAP Results'!C70</f>
        <v>G-2</v>
      </c>
      <c r="D70" s="6" t="str">
        <f>'SAP Results'!D70</f>
        <v>LinStatic</v>
      </c>
      <c r="E70" s="5">
        <f>'SAP Results'!E70</f>
        <v>0</v>
      </c>
      <c r="F70" s="5">
        <f>'SAP Results'!F70</f>
        <v>10.212999999999999</v>
      </c>
      <c r="G70" s="5">
        <f>'SAP Results'!G70</f>
        <v>0</v>
      </c>
      <c r="H70" s="5">
        <f>'SAP Results'!H70</f>
        <v>0</v>
      </c>
      <c r="I70" s="5">
        <f>'SAP Results'!I70</f>
        <v>0</v>
      </c>
      <c r="J70" s="5">
        <f>'SAP Results'!J70</f>
        <v>-41.230899999999998</v>
      </c>
      <c r="K70" s="6" t="str">
        <f>'SAP Results'!K70</f>
        <v>4-1</v>
      </c>
      <c r="L70" s="5">
        <f>'SAP Results'!L70</f>
        <v>5.03125</v>
      </c>
    </row>
    <row r="71" spans="1:12" ht="15.75" hidden="1" customHeight="1">
      <c r="A71" s="6" t="str">
        <f>'SAP Results'!A71</f>
        <v>4</v>
      </c>
      <c r="B71" s="5">
        <f>'SAP Results'!B71</f>
        <v>6.0374999999999996</v>
      </c>
      <c r="C71" s="6" t="str">
        <f>'SAP Results'!C71</f>
        <v>G-2</v>
      </c>
      <c r="D71" s="6" t="str">
        <f>'SAP Results'!D71</f>
        <v>LinStatic</v>
      </c>
      <c r="E71" s="5">
        <f>'SAP Results'!E71</f>
        <v>0</v>
      </c>
      <c r="F71" s="5">
        <f>'SAP Results'!F71</f>
        <v>10.212999999999999</v>
      </c>
      <c r="G71" s="5">
        <f>'SAP Results'!G71</f>
        <v>0</v>
      </c>
      <c r="H71" s="5">
        <f>'SAP Results'!H71</f>
        <v>0</v>
      </c>
      <c r="I71" s="5">
        <f>'SAP Results'!I71</f>
        <v>0</v>
      </c>
      <c r="J71" s="5">
        <f>'SAP Results'!J71</f>
        <v>-51.507899999999999</v>
      </c>
      <c r="K71" s="6" t="str">
        <f>'SAP Results'!K71</f>
        <v>4-1</v>
      </c>
      <c r="L71" s="5">
        <f>'SAP Results'!L71</f>
        <v>6.0374999999999996</v>
      </c>
    </row>
    <row r="72" spans="1:12" ht="15.75" hidden="1" customHeight="1">
      <c r="A72" s="6" t="str">
        <f>'SAP Results'!A72</f>
        <v>4</v>
      </c>
      <c r="B72" s="5">
        <f>'SAP Results'!B72</f>
        <v>7.0437500000000002</v>
      </c>
      <c r="C72" s="6" t="str">
        <f>'SAP Results'!C72</f>
        <v>G-2</v>
      </c>
      <c r="D72" s="6" t="str">
        <f>'SAP Results'!D72</f>
        <v>LinStatic</v>
      </c>
      <c r="E72" s="5">
        <f>'SAP Results'!E72</f>
        <v>0</v>
      </c>
      <c r="F72" s="5">
        <f>'SAP Results'!F72</f>
        <v>10.212999999999999</v>
      </c>
      <c r="G72" s="5">
        <f>'SAP Results'!G72</f>
        <v>0</v>
      </c>
      <c r="H72" s="5">
        <f>'SAP Results'!H72</f>
        <v>0</v>
      </c>
      <c r="I72" s="5">
        <f>'SAP Results'!I72</f>
        <v>0</v>
      </c>
      <c r="J72" s="5">
        <f>'SAP Results'!J72</f>
        <v>-61.784999999999997</v>
      </c>
      <c r="K72" s="6" t="str">
        <f>'SAP Results'!K72</f>
        <v>4-1</v>
      </c>
      <c r="L72" s="5">
        <f>'SAP Results'!L72</f>
        <v>7.0437500000000002</v>
      </c>
    </row>
    <row r="73" spans="1:12" ht="15.75" hidden="1" customHeight="1">
      <c r="A73" s="6" t="str">
        <f>'SAP Results'!A73</f>
        <v>4</v>
      </c>
      <c r="B73" s="5">
        <f>'SAP Results'!B73</f>
        <v>8.0500000000000007</v>
      </c>
      <c r="C73" s="6" t="str">
        <f>'SAP Results'!C73</f>
        <v>G-2</v>
      </c>
      <c r="D73" s="6" t="str">
        <f>'SAP Results'!D73</f>
        <v>LinStatic</v>
      </c>
      <c r="E73" s="5">
        <f>'SAP Results'!E73</f>
        <v>0</v>
      </c>
      <c r="F73" s="5">
        <f>'SAP Results'!F73</f>
        <v>10.212999999999999</v>
      </c>
      <c r="G73" s="5">
        <f>'SAP Results'!G73</f>
        <v>0</v>
      </c>
      <c r="H73" s="5">
        <f>'SAP Results'!H73</f>
        <v>0</v>
      </c>
      <c r="I73" s="5">
        <f>'SAP Results'!I73</f>
        <v>0</v>
      </c>
      <c r="J73" s="5">
        <f>'SAP Results'!J73</f>
        <v>-72.061999999999998</v>
      </c>
      <c r="K73" s="6" t="str">
        <f>'SAP Results'!K73</f>
        <v>4-1</v>
      </c>
      <c r="L73" s="5">
        <f>'SAP Results'!L73</f>
        <v>8.0500000000000007</v>
      </c>
    </row>
    <row r="74" spans="1:12" ht="15.75" hidden="1" customHeight="1">
      <c r="A74" s="6" t="str">
        <f>'SAP Results'!A74</f>
        <v>4</v>
      </c>
      <c r="B74" s="5">
        <f>'SAP Results'!B74</f>
        <v>0</v>
      </c>
      <c r="C74" s="6" t="str">
        <f>'SAP Results'!C74</f>
        <v>Q-1</v>
      </c>
      <c r="D74" s="6" t="str">
        <f>'SAP Results'!D74</f>
        <v>LinStatic</v>
      </c>
      <c r="E74" s="5">
        <f>'SAP Results'!E74</f>
        <v>0</v>
      </c>
      <c r="F74" s="5">
        <f>'SAP Results'!F74</f>
        <v>-77.08</v>
      </c>
      <c r="G74" s="5">
        <f>'SAP Results'!G74</f>
        <v>0</v>
      </c>
      <c r="H74" s="5">
        <f>'SAP Results'!H74</f>
        <v>0</v>
      </c>
      <c r="I74" s="5">
        <f>'SAP Results'!I74</f>
        <v>0</v>
      </c>
      <c r="J74" s="5">
        <f>'SAP Results'!J74</f>
        <v>-63.004600000000003</v>
      </c>
      <c r="K74" s="6" t="str">
        <f>'SAP Results'!K74</f>
        <v>4-1</v>
      </c>
      <c r="L74" s="5">
        <f>'SAP Results'!L74</f>
        <v>0</v>
      </c>
    </row>
    <row r="75" spans="1:12" ht="15.75" hidden="1" customHeight="1">
      <c r="A75" s="6" t="str">
        <f>'SAP Results'!A75</f>
        <v>4</v>
      </c>
      <c r="B75" s="5">
        <f>'SAP Results'!B75</f>
        <v>1.0062500000000001</v>
      </c>
      <c r="C75" s="6" t="str">
        <f>'SAP Results'!C75</f>
        <v>Q-1</v>
      </c>
      <c r="D75" s="6" t="str">
        <f>'SAP Results'!D75</f>
        <v>LinStatic</v>
      </c>
      <c r="E75" s="5">
        <f>'SAP Results'!E75</f>
        <v>0</v>
      </c>
      <c r="F75" s="5">
        <f>'SAP Results'!F75</f>
        <v>-56.829000000000001</v>
      </c>
      <c r="G75" s="5">
        <f>'SAP Results'!G75</f>
        <v>0</v>
      </c>
      <c r="H75" s="5">
        <f>'SAP Results'!H75</f>
        <v>0</v>
      </c>
      <c r="I75" s="5">
        <f>'SAP Results'!I75</f>
        <v>0</v>
      </c>
      <c r="J75" s="5">
        <f>'SAP Results'!J75</f>
        <v>4.3686999999999996</v>
      </c>
      <c r="K75" s="6" t="str">
        <f>'SAP Results'!K75</f>
        <v>4-1</v>
      </c>
      <c r="L75" s="5">
        <f>'SAP Results'!L75</f>
        <v>1.0062500000000001</v>
      </c>
    </row>
    <row r="76" spans="1:12" ht="15.75" hidden="1" customHeight="1">
      <c r="A76" s="6" t="str">
        <f>'SAP Results'!A76</f>
        <v>4</v>
      </c>
      <c r="B76" s="5">
        <f>'SAP Results'!B76</f>
        <v>2.0125000000000002</v>
      </c>
      <c r="C76" s="6" t="str">
        <f>'SAP Results'!C76</f>
        <v>Q-1</v>
      </c>
      <c r="D76" s="6" t="str">
        <f>'SAP Results'!D76</f>
        <v>LinStatic</v>
      </c>
      <c r="E76" s="5">
        <f>'SAP Results'!E76</f>
        <v>0</v>
      </c>
      <c r="F76" s="5">
        <f>'SAP Results'!F76</f>
        <v>-36.579000000000001</v>
      </c>
      <c r="G76" s="5">
        <f>'SAP Results'!G76</f>
        <v>0</v>
      </c>
      <c r="H76" s="5">
        <f>'SAP Results'!H76</f>
        <v>0</v>
      </c>
      <c r="I76" s="5">
        <f>'SAP Results'!I76</f>
        <v>0</v>
      </c>
      <c r="J76" s="5">
        <f>'SAP Results'!J76</f>
        <v>51.364699999999999</v>
      </c>
      <c r="K76" s="6" t="str">
        <f>'SAP Results'!K76</f>
        <v>4-1</v>
      </c>
      <c r="L76" s="5">
        <f>'SAP Results'!L76</f>
        <v>2.0125000000000002</v>
      </c>
    </row>
    <row r="77" spans="1:12" ht="15.75" hidden="1" customHeight="1">
      <c r="A77" s="6" t="str">
        <f>'SAP Results'!A77</f>
        <v>4</v>
      </c>
      <c r="B77" s="5">
        <f>'SAP Results'!B77</f>
        <v>3.0187499999999998</v>
      </c>
      <c r="C77" s="6" t="str">
        <f>'SAP Results'!C77</f>
        <v>Q-1</v>
      </c>
      <c r="D77" s="6" t="str">
        <f>'SAP Results'!D77</f>
        <v>LinStatic</v>
      </c>
      <c r="E77" s="5">
        <f>'SAP Results'!E77</f>
        <v>0</v>
      </c>
      <c r="F77" s="5">
        <f>'SAP Results'!F77</f>
        <v>-16.327999999999999</v>
      </c>
      <c r="G77" s="5">
        <f>'SAP Results'!G77</f>
        <v>0</v>
      </c>
      <c r="H77" s="5">
        <f>'SAP Results'!H77</f>
        <v>0</v>
      </c>
      <c r="I77" s="5">
        <f>'SAP Results'!I77</f>
        <v>0</v>
      </c>
      <c r="J77" s="5">
        <f>'SAP Results'!J77</f>
        <v>77.983400000000003</v>
      </c>
      <c r="K77" s="6" t="str">
        <f>'SAP Results'!K77</f>
        <v>4-1</v>
      </c>
      <c r="L77" s="5">
        <f>'SAP Results'!L77</f>
        <v>3.0187499999999998</v>
      </c>
    </row>
    <row r="78" spans="1:12" ht="15.75" hidden="1" customHeight="1">
      <c r="A78" s="6" t="str">
        <f>'SAP Results'!A78</f>
        <v>4</v>
      </c>
      <c r="B78" s="5">
        <f>'SAP Results'!B78</f>
        <v>4.0250000000000004</v>
      </c>
      <c r="C78" s="6" t="str">
        <f>'SAP Results'!C78</f>
        <v>Q-1</v>
      </c>
      <c r="D78" s="6" t="str">
        <f>'SAP Results'!D78</f>
        <v>LinStatic</v>
      </c>
      <c r="E78" s="5">
        <f>'SAP Results'!E78</f>
        <v>0</v>
      </c>
      <c r="F78" s="5">
        <f>'SAP Results'!F78</f>
        <v>3.923</v>
      </c>
      <c r="G78" s="5">
        <f>'SAP Results'!G78</f>
        <v>0</v>
      </c>
      <c r="H78" s="5">
        <f>'SAP Results'!H78</f>
        <v>0</v>
      </c>
      <c r="I78" s="5">
        <f>'SAP Results'!I78</f>
        <v>0</v>
      </c>
      <c r="J78" s="5">
        <f>'SAP Results'!J78</f>
        <v>84.224699999999999</v>
      </c>
      <c r="K78" s="6" t="str">
        <f>'SAP Results'!K78</f>
        <v>4-1</v>
      </c>
      <c r="L78" s="5">
        <f>'SAP Results'!L78</f>
        <v>4.0250000000000004</v>
      </c>
    </row>
    <row r="79" spans="1:12" ht="15.75" hidden="1" customHeight="1">
      <c r="A79" s="6" t="str">
        <f>'SAP Results'!A79</f>
        <v>4</v>
      </c>
      <c r="B79" s="5">
        <f>'SAP Results'!B79</f>
        <v>5.03125</v>
      </c>
      <c r="C79" s="6" t="str">
        <f>'SAP Results'!C79</f>
        <v>Q-1</v>
      </c>
      <c r="D79" s="6" t="str">
        <f>'SAP Results'!D79</f>
        <v>LinStatic</v>
      </c>
      <c r="E79" s="5">
        <f>'SAP Results'!E79</f>
        <v>0</v>
      </c>
      <c r="F79" s="5">
        <f>'SAP Results'!F79</f>
        <v>24.173999999999999</v>
      </c>
      <c r="G79" s="5">
        <f>'SAP Results'!G79</f>
        <v>0</v>
      </c>
      <c r="H79" s="5">
        <f>'SAP Results'!H79</f>
        <v>0</v>
      </c>
      <c r="I79" s="5">
        <f>'SAP Results'!I79</f>
        <v>0</v>
      </c>
      <c r="J79" s="5">
        <f>'SAP Results'!J79</f>
        <v>70.0886</v>
      </c>
      <c r="K79" s="6" t="str">
        <f>'SAP Results'!K79</f>
        <v>4-1</v>
      </c>
      <c r="L79" s="5">
        <f>'SAP Results'!L79</f>
        <v>5.03125</v>
      </c>
    </row>
    <row r="80" spans="1:12" ht="15.75" hidden="1" customHeight="1">
      <c r="A80" s="6" t="str">
        <f>'SAP Results'!A80</f>
        <v>4</v>
      </c>
      <c r="B80" s="5">
        <f>'SAP Results'!B80</f>
        <v>6.0374999999999996</v>
      </c>
      <c r="C80" s="6" t="str">
        <f>'SAP Results'!C80</f>
        <v>Q-1</v>
      </c>
      <c r="D80" s="6" t="str">
        <f>'SAP Results'!D80</f>
        <v>LinStatic</v>
      </c>
      <c r="E80" s="5">
        <f>'SAP Results'!E80</f>
        <v>0</v>
      </c>
      <c r="F80" s="5">
        <f>'SAP Results'!F80</f>
        <v>44.423999999999999</v>
      </c>
      <c r="G80" s="5">
        <f>'SAP Results'!G80</f>
        <v>0</v>
      </c>
      <c r="H80" s="5">
        <f>'SAP Results'!H80</f>
        <v>0</v>
      </c>
      <c r="I80" s="5">
        <f>'SAP Results'!I80</f>
        <v>0</v>
      </c>
      <c r="J80" s="5">
        <f>'SAP Results'!J80</f>
        <v>35.575299999999999</v>
      </c>
      <c r="K80" s="6" t="str">
        <f>'SAP Results'!K80</f>
        <v>4-1</v>
      </c>
      <c r="L80" s="5">
        <f>'SAP Results'!L80</f>
        <v>6.0374999999999996</v>
      </c>
    </row>
    <row r="81" spans="1:12" ht="15.75" hidden="1" customHeight="1">
      <c r="A81" s="6" t="str">
        <f>'SAP Results'!A81</f>
        <v>4</v>
      </c>
      <c r="B81" s="5">
        <f>'SAP Results'!B81</f>
        <v>7.0437500000000002</v>
      </c>
      <c r="C81" s="6" t="str">
        <f>'SAP Results'!C81</f>
        <v>Q-1</v>
      </c>
      <c r="D81" s="6" t="str">
        <f>'SAP Results'!D81</f>
        <v>LinStatic</v>
      </c>
      <c r="E81" s="5">
        <f>'SAP Results'!E81</f>
        <v>0</v>
      </c>
      <c r="F81" s="5">
        <f>'SAP Results'!F81</f>
        <v>64.674999999999997</v>
      </c>
      <c r="G81" s="5">
        <f>'SAP Results'!G81</f>
        <v>0</v>
      </c>
      <c r="H81" s="5">
        <f>'SAP Results'!H81</f>
        <v>0</v>
      </c>
      <c r="I81" s="5">
        <f>'SAP Results'!I81</f>
        <v>0</v>
      </c>
      <c r="J81" s="5">
        <f>'SAP Results'!J81</f>
        <v>-19.3155</v>
      </c>
      <c r="K81" s="6" t="str">
        <f>'SAP Results'!K81</f>
        <v>4-1</v>
      </c>
      <c r="L81" s="5">
        <f>'SAP Results'!L81</f>
        <v>7.0437500000000002</v>
      </c>
    </row>
    <row r="82" spans="1:12" ht="15.75" hidden="1" customHeight="1">
      <c r="A82" s="6" t="str">
        <f>'SAP Results'!A82</f>
        <v>4</v>
      </c>
      <c r="B82" s="5">
        <f>'SAP Results'!B82</f>
        <v>8.0500000000000007</v>
      </c>
      <c r="C82" s="6" t="str">
        <f>'SAP Results'!C82</f>
        <v>Q-1</v>
      </c>
      <c r="D82" s="6" t="str">
        <f>'SAP Results'!D82</f>
        <v>LinStatic</v>
      </c>
      <c r="E82" s="5">
        <f>'SAP Results'!E82</f>
        <v>0</v>
      </c>
      <c r="F82" s="5">
        <f>'SAP Results'!F82</f>
        <v>84.926000000000002</v>
      </c>
      <c r="G82" s="5">
        <f>'SAP Results'!G82</f>
        <v>0</v>
      </c>
      <c r="H82" s="5">
        <f>'SAP Results'!H82</f>
        <v>0</v>
      </c>
      <c r="I82" s="5">
        <f>'SAP Results'!I82</f>
        <v>0</v>
      </c>
      <c r="J82" s="5">
        <f>'SAP Results'!J82</f>
        <v>-94.583600000000004</v>
      </c>
      <c r="K82" s="6" t="str">
        <f>'SAP Results'!K82</f>
        <v>4-1</v>
      </c>
      <c r="L82" s="5">
        <f>'SAP Results'!L82</f>
        <v>8.0500000000000007</v>
      </c>
    </row>
    <row r="83" spans="1:12" ht="15.75" hidden="1" customHeight="1">
      <c r="A83" s="6" t="str">
        <f>'SAP Results'!A83</f>
        <v>4</v>
      </c>
      <c r="B83" s="5">
        <f>'SAP Results'!B83</f>
        <v>0</v>
      </c>
      <c r="C83" s="6" t="str">
        <f>'SAP Results'!C83</f>
        <v>Q-2</v>
      </c>
      <c r="D83" s="6" t="str">
        <f>'SAP Results'!D83</f>
        <v>LinStatic</v>
      </c>
      <c r="E83" s="5">
        <f>'SAP Results'!E83</f>
        <v>0</v>
      </c>
      <c r="F83" s="5">
        <f>'SAP Results'!F83</f>
        <v>5.1529999999999996</v>
      </c>
      <c r="G83" s="5">
        <f>'SAP Results'!G83</f>
        <v>0</v>
      </c>
      <c r="H83" s="5">
        <f>'SAP Results'!H83</f>
        <v>0</v>
      </c>
      <c r="I83" s="5">
        <f>'SAP Results'!I83</f>
        <v>0</v>
      </c>
      <c r="J83" s="5">
        <f>'SAP Results'!J83</f>
        <v>5.1230000000000002</v>
      </c>
      <c r="K83" s="6" t="str">
        <f>'SAP Results'!K83</f>
        <v>4-1</v>
      </c>
      <c r="L83" s="5">
        <f>'SAP Results'!L83</f>
        <v>0</v>
      </c>
    </row>
    <row r="84" spans="1:12" ht="15.75" hidden="1" customHeight="1">
      <c r="A84" s="6" t="str">
        <f>'SAP Results'!A84</f>
        <v>4</v>
      </c>
      <c r="B84" s="5">
        <f>'SAP Results'!B84</f>
        <v>1.0062500000000001</v>
      </c>
      <c r="C84" s="6" t="str">
        <f>'SAP Results'!C84</f>
        <v>Q-2</v>
      </c>
      <c r="D84" s="6" t="str">
        <f>'SAP Results'!D84</f>
        <v>LinStatic</v>
      </c>
      <c r="E84" s="5">
        <f>'SAP Results'!E84</f>
        <v>0</v>
      </c>
      <c r="F84" s="5">
        <f>'SAP Results'!F84</f>
        <v>5.1529999999999996</v>
      </c>
      <c r="G84" s="5">
        <f>'SAP Results'!G84</f>
        <v>0</v>
      </c>
      <c r="H84" s="5">
        <f>'SAP Results'!H84</f>
        <v>0</v>
      </c>
      <c r="I84" s="5">
        <f>'SAP Results'!I84</f>
        <v>0</v>
      </c>
      <c r="J84" s="5">
        <f>'SAP Results'!J84</f>
        <v>-6.1899999999999997E-2</v>
      </c>
      <c r="K84" s="6" t="str">
        <f>'SAP Results'!K84</f>
        <v>4-1</v>
      </c>
      <c r="L84" s="5">
        <f>'SAP Results'!L84</f>
        <v>1.0062500000000001</v>
      </c>
    </row>
    <row r="85" spans="1:12" ht="15.75" hidden="1" customHeight="1">
      <c r="A85" s="6" t="str">
        <f>'SAP Results'!A85</f>
        <v>4</v>
      </c>
      <c r="B85" s="5">
        <f>'SAP Results'!B85</f>
        <v>2.0125000000000002</v>
      </c>
      <c r="C85" s="6" t="str">
        <f>'SAP Results'!C85</f>
        <v>Q-2</v>
      </c>
      <c r="D85" s="6" t="str">
        <f>'SAP Results'!D85</f>
        <v>LinStatic</v>
      </c>
      <c r="E85" s="5">
        <f>'SAP Results'!E85</f>
        <v>0</v>
      </c>
      <c r="F85" s="5">
        <f>'SAP Results'!F85</f>
        <v>5.1529999999999996</v>
      </c>
      <c r="G85" s="5">
        <f>'SAP Results'!G85</f>
        <v>0</v>
      </c>
      <c r="H85" s="5">
        <f>'SAP Results'!H85</f>
        <v>0</v>
      </c>
      <c r="I85" s="5">
        <f>'SAP Results'!I85</f>
        <v>0</v>
      </c>
      <c r="J85" s="5">
        <f>'SAP Results'!J85</f>
        <v>-5.2468000000000004</v>
      </c>
      <c r="K85" s="6" t="str">
        <f>'SAP Results'!K85</f>
        <v>4-1</v>
      </c>
      <c r="L85" s="5">
        <f>'SAP Results'!L85</f>
        <v>2.0125000000000002</v>
      </c>
    </row>
    <row r="86" spans="1:12" ht="15.75" hidden="1" customHeight="1">
      <c r="A86" s="6" t="str">
        <f>'SAP Results'!A86</f>
        <v>4</v>
      </c>
      <c r="B86" s="5">
        <f>'SAP Results'!B86</f>
        <v>3.0187499999999998</v>
      </c>
      <c r="C86" s="6" t="str">
        <f>'SAP Results'!C86</f>
        <v>Q-2</v>
      </c>
      <c r="D86" s="6" t="str">
        <f>'SAP Results'!D86</f>
        <v>LinStatic</v>
      </c>
      <c r="E86" s="5">
        <f>'SAP Results'!E86</f>
        <v>0</v>
      </c>
      <c r="F86" s="5">
        <f>'SAP Results'!F86</f>
        <v>5.1529999999999996</v>
      </c>
      <c r="G86" s="5">
        <f>'SAP Results'!G86</f>
        <v>0</v>
      </c>
      <c r="H86" s="5">
        <f>'SAP Results'!H86</f>
        <v>0</v>
      </c>
      <c r="I86" s="5">
        <f>'SAP Results'!I86</f>
        <v>0</v>
      </c>
      <c r="J86" s="5">
        <f>'SAP Results'!J86</f>
        <v>-10.431699999999999</v>
      </c>
      <c r="K86" s="6" t="str">
        <f>'SAP Results'!K86</f>
        <v>4-1</v>
      </c>
      <c r="L86" s="5">
        <f>'SAP Results'!L86</f>
        <v>3.0187499999999998</v>
      </c>
    </row>
    <row r="87" spans="1:12" ht="15.75" hidden="1" customHeight="1">
      <c r="A87" s="6" t="str">
        <f>'SAP Results'!A87</f>
        <v>4</v>
      </c>
      <c r="B87" s="5">
        <f>'SAP Results'!B87</f>
        <v>4.0250000000000004</v>
      </c>
      <c r="C87" s="6" t="str">
        <f>'SAP Results'!C87</f>
        <v>Q-2</v>
      </c>
      <c r="D87" s="6" t="str">
        <f>'SAP Results'!D87</f>
        <v>LinStatic</v>
      </c>
      <c r="E87" s="5">
        <f>'SAP Results'!E87</f>
        <v>0</v>
      </c>
      <c r="F87" s="5">
        <f>'SAP Results'!F87</f>
        <v>5.1529999999999996</v>
      </c>
      <c r="G87" s="5">
        <f>'SAP Results'!G87</f>
        <v>0</v>
      </c>
      <c r="H87" s="5">
        <f>'SAP Results'!H87</f>
        <v>0</v>
      </c>
      <c r="I87" s="5">
        <f>'SAP Results'!I87</f>
        <v>0</v>
      </c>
      <c r="J87" s="5">
        <f>'SAP Results'!J87</f>
        <v>-15.6166</v>
      </c>
      <c r="K87" s="6" t="str">
        <f>'SAP Results'!K87</f>
        <v>4-1</v>
      </c>
      <c r="L87" s="5">
        <f>'SAP Results'!L87</f>
        <v>4.0250000000000004</v>
      </c>
    </row>
    <row r="88" spans="1:12" ht="15.75" hidden="1" customHeight="1">
      <c r="A88" s="6" t="str">
        <f>'SAP Results'!A88</f>
        <v>4</v>
      </c>
      <c r="B88" s="5">
        <f>'SAP Results'!B88</f>
        <v>5.03125</v>
      </c>
      <c r="C88" s="6" t="str">
        <f>'SAP Results'!C88</f>
        <v>Q-2</v>
      </c>
      <c r="D88" s="6" t="str">
        <f>'SAP Results'!D88</f>
        <v>LinStatic</v>
      </c>
      <c r="E88" s="5">
        <f>'SAP Results'!E88</f>
        <v>0</v>
      </c>
      <c r="F88" s="5">
        <f>'SAP Results'!F88</f>
        <v>5.1529999999999996</v>
      </c>
      <c r="G88" s="5">
        <f>'SAP Results'!G88</f>
        <v>0</v>
      </c>
      <c r="H88" s="5">
        <f>'SAP Results'!H88</f>
        <v>0</v>
      </c>
      <c r="I88" s="5">
        <f>'SAP Results'!I88</f>
        <v>0</v>
      </c>
      <c r="J88" s="5">
        <f>'SAP Results'!J88</f>
        <v>-20.801500000000001</v>
      </c>
      <c r="K88" s="6" t="str">
        <f>'SAP Results'!K88</f>
        <v>4-1</v>
      </c>
      <c r="L88" s="5">
        <f>'SAP Results'!L88</f>
        <v>5.03125</v>
      </c>
    </row>
    <row r="89" spans="1:12" ht="15.75" hidden="1" customHeight="1">
      <c r="A89" s="6" t="str">
        <f>'SAP Results'!A89</f>
        <v>4</v>
      </c>
      <c r="B89" s="5">
        <f>'SAP Results'!B89</f>
        <v>6.0374999999999996</v>
      </c>
      <c r="C89" s="6" t="str">
        <f>'SAP Results'!C89</f>
        <v>Q-2</v>
      </c>
      <c r="D89" s="6" t="str">
        <f>'SAP Results'!D89</f>
        <v>LinStatic</v>
      </c>
      <c r="E89" s="5">
        <f>'SAP Results'!E89</f>
        <v>0</v>
      </c>
      <c r="F89" s="5">
        <f>'SAP Results'!F89</f>
        <v>5.1529999999999996</v>
      </c>
      <c r="G89" s="5">
        <f>'SAP Results'!G89</f>
        <v>0</v>
      </c>
      <c r="H89" s="5">
        <f>'SAP Results'!H89</f>
        <v>0</v>
      </c>
      <c r="I89" s="5">
        <f>'SAP Results'!I89</f>
        <v>0</v>
      </c>
      <c r="J89" s="5">
        <f>'SAP Results'!J89</f>
        <v>-25.9864</v>
      </c>
      <c r="K89" s="6" t="str">
        <f>'SAP Results'!K89</f>
        <v>4-1</v>
      </c>
      <c r="L89" s="5">
        <f>'SAP Results'!L89</f>
        <v>6.0374999999999996</v>
      </c>
    </row>
    <row r="90" spans="1:12" ht="15.75" hidden="1" customHeight="1">
      <c r="A90" s="6" t="str">
        <f>'SAP Results'!A90</f>
        <v>4</v>
      </c>
      <c r="B90" s="5">
        <f>'SAP Results'!B90</f>
        <v>7.0437500000000002</v>
      </c>
      <c r="C90" s="6" t="str">
        <f>'SAP Results'!C90</f>
        <v>Q-2</v>
      </c>
      <c r="D90" s="6" t="str">
        <f>'SAP Results'!D90</f>
        <v>LinStatic</v>
      </c>
      <c r="E90" s="5">
        <f>'SAP Results'!E90</f>
        <v>0</v>
      </c>
      <c r="F90" s="5">
        <f>'SAP Results'!F90</f>
        <v>5.1529999999999996</v>
      </c>
      <c r="G90" s="5">
        <f>'SAP Results'!G90</f>
        <v>0</v>
      </c>
      <c r="H90" s="5">
        <f>'SAP Results'!H90</f>
        <v>0</v>
      </c>
      <c r="I90" s="5">
        <f>'SAP Results'!I90</f>
        <v>0</v>
      </c>
      <c r="J90" s="5">
        <f>'SAP Results'!J90</f>
        <v>-31.171299999999999</v>
      </c>
      <c r="K90" s="6" t="str">
        <f>'SAP Results'!K90</f>
        <v>4-1</v>
      </c>
      <c r="L90" s="5">
        <f>'SAP Results'!L90</f>
        <v>7.0437500000000002</v>
      </c>
    </row>
    <row r="91" spans="1:12" ht="15.75" hidden="1" customHeight="1">
      <c r="A91" s="6" t="str">
        <f>'SAP Results'!A91</f>
        <v>4</v>
      </c>
      <c r="B91" s="5">
        <f>'SAP Results'!B91</f>
        <v>8.0500000000000007</v>
      </c>
      <c r="C91" s="6" t="str">
        <f>'SAP Results'!C91</f>
        <v>Q-2</v>
      </c>
      <c r="D91" s="6" t="str">
        <f>'SAP Results'!D91</f>
        <v>LinStatic</v>
      </c>
      <c r="E91" s="5">
        <f>'SAP Results'!E91</f>
        <v>0</v>
      </c>
      <c r="F91" s="5">
        <f>'SAP Results'!F91</f>
        <v>5.1529999999999996</v>
      </c>
      <c r="G91" s="5">
        <f>'SAP Results'!G91</f>
        <v>0</v>
      </c>
      <c r="H91" s="5">
        <f>'SAP Results'!H91</f>
        <v>0</v>
      </c>
      <c r="I91" s="5">
        <f>'SAP Results'!I91</f>
        <v>0</v>
      </c>
      <c r="J91" s="5">
        <f>'SAP Results'!J91</f>
        <v>-36.356200000000001</v>
      </c>
      <c r="K91" s="6" t="str">
        <f>'SAP Results'!K91</f>
        <v>4-1</v>
      </c>
      <c r="L91" s="5">
        <f>'SAP Results'!L91</f>
        <v>8.0500000000000007</v>
      </c>
    </row>
    <row r="92" spans="1:12" ht="15.75" customHeight="1">
      <c r="A92" s="6" t="str">
        <f>'SAP Results'!A92</f>
        <v>5</v>
      </c>
      <c r="B92" s="5">
        <f>'SAP Results'!B92</f>
        <v>0</v>
      </c>
      <c r="C92" s="6" t="str">
        <f>'SAP Results'!C92</f>
        <v>EX</v>
      </c>
      <c r="D92" s="6" t="str">
        <f>'SAP Results'!D92</f>
        <v>LinStatic</v>
      </c>
      <c r="E92" s="5">
        <f>'SAP Results'!E92</f>
        <v>0</v>
      </c>
      <c r="F92" s="5">
        <f>'SAP Results'!F92</f>
        <v>18.693999999999999</v>
      </c>
      <c r="G92" s="5">
        <f>'SAP Results'!G92</f>
        <v>0</v>
      </c>
      <c r="H92" s="5">
        <f>'SAP Results'!H92</f>
        <v>0</v>
      </c>
      <c r="I92" s="5">
        <f>'SAP Results'!I92</f>
        <v>0</v>
      </c>
      <c r="J92" s="5">
        <f>'SAP Results'!J92</f>
        <v>64.579499999999996</v>
      </c>
      <c r="K92" s="6" t="str">
        <f>'SAP Results'!K92</f>
        <v>5-1</v>
      </c>
      <c r="L92" s="5">
        <f>'SAP Results'!L92</f>
        <v>0</v>
      </c>
    </row>
    <row r="93" spans="1:12" ht="15.75" customHeight="1">
      <c r="A93" s="6" t="str">
        <f>'SAP Results'!A93</f>
        <v>5</v>
      </c>
      <c r="B93" s="5">
        <f>'SAP Results'!B93</f>
        <v>1.0062500000000001</v>
      </c>
      <c r="C93" s="6" t="str">
        <f>'SAP Results'!C93</f>
        <v>EX</v>
      </c>
      <c r="D93" s="6" t="str">
        <f>'SAP Results'!D93</f>
        <v>LinStatic</v>
      </c>
      <c r="E93" s="5">
        <f>'SAP Results'!E93</f>
        <v>0</v>
      </c>
      <c r="F93" s="5">
        <f>'SAP Results'!F93</f>
        <v>18.693999999999999</v>
      </c>
      <c r="G93" s="5">
        <f>'SAP Results'!G93</f>
        <v>0</v>
      </c>
      <c r="H93" s="5">
        <f>'SAP Results'!H93</f>
        <v>0</v>
      </c>
      <c r="I93" s="5">
        <f>'SAP Results'!I93</f>
        <v>0</v>
      </c>
      <c r="J93" s="5">
        <f>'SAP Results'!J93</f>
        <v>45.768900000000002</v>
      </c>
      <c r="K93" s="6" t="str">
        <f>'SAP Results'!K93</f>
        <v>5-1</v>
      </c>
      <c r="L93" s="5">
        <f>'SAP Results'!L93</f>
        <v>1.0062500000000001</v>
      </c>
    </row>
    <row r="94" spans="1:12" ht="15.75" customHeight="1">
      <c r="A94" s="6" t="str">
        <f>'SAP Results'!A94</f>
        <v>5</v>
      </c>
      <c r="B94" s="5">
        <f>'SAP Results'!B94</f>
        <v>2.0125000000000002</v>
      </c>
      <c r="C94" s="6" t="str">
        <f>'SAP Results'!C94</f>
        <v>EX</v>
      </c>
      <c r="D94" s="6" t="str">
        <f>'SAP Results'!D94</f>
        <v>LinStatic</v>
      </c>
      <c r="E94" s="5">
        <f>'SAP Results'!E94</f>
        <v>0</v>
      </c>
      <c r="F94" s="5">
        <f>'SAP Results'!F94</f>
        <v>18.693999999999999</v>
      </c>
      <c r="G94" s="5">
        <f>'SAP Results'!G94</f>
        <v>0</v>
      </c>
      <c r="H94" s="5">
        <f>'SAP Results'!H94</f>
        <v>0</v>
      </c>
      <c r="I94" s="5">
        <f>'SAP Results'!I94</f>
        <v>0</v>
      </c>
      <c r="J94" s="5">
        <f>'SAP Results'!J94</f>
        <v>26.958400000000001</v>
      </c>
      <c r="K94" s="6" t="str">
        <f>'SAP Results'!K94</f>
        <v>5-1</v>
      </c>
      <c r="L94" s="5">
        <f>'SAP Results'!L94</f>
        <v>2.0125000000000002</v>
      </c>
    </row>
    <row r="95" spans="1:12" ht="15.75" customHeight="1">
      <c r="A95" s="6" t="str">
        <f>'SAP Results'!A95</f>
        <v>5</v>
      </c>
      <c r="B95" s="5">
        <f>'SAP Results'!B95</f>
        <v>3.0187499999999998</v>
      </c>
      <c r="C95" s="6" t="str">
        <f>'SAP Results'!C95</f>
        <v>EX</v>
      </c>
      <c r="D95" s="6" t="str">
        <f>'SAP Results'!D95</f>
        <v>LinStatic</v>
      </c>
      <c r="E95" s="5">
        <f>'SAP Results'!E95</f>
        <v>0</v>
      </c>
      <c r="F95" s="5">
        <f>'SAP Results'!F95</f>
        <v>18.693999999999999</v>
      </c>
      <c r="G95" s="5">
        <f>'SAP Results'!G95</f>
        <v>0</v>
      </c>
      <c r="H95" s="5">
        <f>'SAP Results'!H95</f>
        <v>0</v>
      </c>
      <c r="I95" s="5">
        <f>'SAP Results'!I95</f>
        <v>0</v>
      </c>
      <c r="J95" s="5">
        <f>'SAP Results'!J95</f>
        <v>8.1478999999999999</v>
      </c>
      <c r="K95" s="6" t="str">
        <f>'SAP Results'!K95</f>
        <v>5-1</v>
      </c>
      <c r="L95" s="5">
        <f>'SAP Results'!L95</f>
        <v>3.0187499999999998</v>
      </c>
    </row>
    <row r="96" spans="1:12" ht="15.75" customHeight="1">
      <c r="A96" s="6" t="str">
        <f>'SAP Results'!A96</f>
        <v>5</v>
      </c>
      <c r="B96" s="5">
        <f>'SAP Results'!B96</f>
        <v>4.0250000000000004</v>
      </c>
      <c r="C96" s="6" t="str">
        <f>'SAP Results'!C96</f>
        <v>EX</v>
      </c>
      <c r="D96" s="6" t="str">
        <f>'SAP Results'!D96</f>
        <v>LinStatic</v>
      </c>
      <c r="E96" s="5">
        <f>'SAP Results'!E96</f>
        <v>0</v>
      </c>
      <c r="F96" s="5">
        <f>'SAP Results'!F96</f>
        <v>18.693999999999999</v>
      </c>
      <c r="G96" s="5">
        <f>'SAP Results'!G96</f>
        <v>0</v>
      </c>
      <c r="H96" s="5">
        <f>'SAP Results'!H96</f>
        <v>0</v>
      </c>
      <c r="I96" s="5">
        <f>'SAP Results'!I96</f>
        <v>0</v>
      </c>
      <c r="J96" s="5">
        <f>'SAP Results'!J96</f>
        <v>-10.662599999999999</v>
      </c>
      <c r="K96" s="6" t="str">
        <f>'SAP Results'!K96</f>
        <v>5-1</v>
      </c>
      <c r="L96" s="5">
        <f>'SAP Results'!L96</f>
        <v>4.0250000000000004</v>
      </c>
    </row>
    <row r="97" spans="1:12" ht="15.75" customHeight="1">
      <c r="A97" s="6" t="str">
        <f>'SAP Results'!A97</f>
        <v>5</v>
      </c>
      <c r="B97" s="5">
        <f>'SAP Results'!B97</f>
        <v>5.03125</v>
      </c>
      <c r="C97" s="6" t="str">
        <f>'SAP Results'!C97</f>
        <v>EX</v>
      </c>
      <c r="D97" s="6" t="str">
        <f>'SAP Results'!D97</f>
        <v>LinStatic</v>
      </c>
      <c r="E97" s="5">
        <f>'SAP Results'!E97</f>
        <v>0</v>
      </c>
      <c r="F97" s="5">
        <f>'SAP Results'!F97</f>
        <v>18.693999999999999</v>
      </c>
      <c r="G97" s="5">
        <f>'SAP Results'!G97</f>
        <v>0</v>
      </c>
      <c r="H97" s="5">
        <f>'SAP Results'!H97</f>
        <v>0</v>
      </c>
      <c r="I97" s="5">
        <f>'SAP Results'!I97</f>
        <v>0</v>
      </c>
      <c r="J97" s="5">
        <f>'SAP Results'!J97</f>
        <v>-29.473199999999999</v>
      </c>
      <c r="K97" s="6" t="str">
        <f>'SAP Results'!K97</f>
        <v>5-1</v>
      </c>
      <c r="L97" s="5">
        <f>'SAP Results'!L97</f>
        <v>5.03125</v>
      </c>
    </row>
    <row r="98" spans="1:12" ht="15.75" customHeight="1">
      <c r="A98" s="6" t="str">
        <f>'SAP Results'!A98</f>
        <v>5</v>
      </c>
      <c r="B98" s="5">
        <f>'SAP Results'!B98</f>
        <v>6.0374999999999996</v>
      </c>
      <c r="C98" s="6" t="str">
        <f>'SAP Results'!C98</f>
        <v>EX</v>
      </c>
      <c r="D98" s="6" t="str">
        <f>'SAP Results'!D98</f>
        <v>LinStatic</v>
      </c>
      <c r="E98" s="5">
        <f>'SAP Results'!E98</f>
        <v>0</v>
      </c>
      <c r="F98" s="5">
        <f>'SAP Results'!F98</f>
        <v>18.693999999999999</v>
      </c>
      <c r="G98" s="5">
        <f>'SAP Results'!G98</f>
        <v>0</v>
      </c>
      <c r="H98" s="5">
        <f>'SAP Results'!H98</f>
        <v>0</v>
      </c>
      <c r="I98" s="5">
        <f>'SAP Results'!I98</f>
        <v>0</v>
      </c>
      <c r="J98" s="5">
        <f>'SAP Results'!J98</f>
        <v>-48.283700000000003</v>
      </c>
      <c r="K98" s="6" t="str">
        <f>'SAP Results'!K98</f>
        <v>5-1</v>
      </c>
      <c r="L98" s="5">
        <f>'SAP Results'!L98</f>
        <v>6.0374999999999996</v>
      </c>
    </row>
    <row r="99" spans="1:12" ht="15.75" customHeight="1">
      <c r="A99" s="6" t="str">
        <f>'SAP Results'!A99</f>
        <v>5</v>
      </c>
      <c r="B99" s="5">
        <f>'SAP Results'!B99</f>
        <v>7.0437500000000002</v>
      </c>
      <c r="C99" s="6" t="str">
        <f>'SAP Results'!C99</f>
        <v>EX</v>
      </c>
      <c r="D99" s="6" t="str">
        <f>'SAP Results'!D99</f>
        <v>LinStatic</v>
      </c>
      <c r="E99" s="5">
        <f>'SAP Results'!E99</f>
        <v>0</v>
      </c>
      <c r="F99" s="5">
        <f>'SAP Results'!F99</f>
        <v>18.693999999999999</v>
      </c>
      <c r="G99" s="5">
        <f>'SAP Results'!G99</f>
        <v>0</v>
      </c>
      <c r="H99" s="5">
        <f>'SAP Results'!H99</f>
        <v>0</v>
      </c>
      <c r="I99" s="5">
        <f>'SAP Results'!I99</f>
        <v>0</v>
      </c>
      <c r="J99" s="5">
        <f>'SAP Results'!J99</f>
        <v>-67.094200000000001</v>
      </c>
      <c r="K99" s="6" t="str">
        <f>'SAP Results'!K99</f>
        <v>5-1</v>
      </c>
      <c r="L99" s="5">
        <f>'SAP Results'!L99</f>
        <v>7.0437500000000002</v>
      </c>
    </row>
    <row r="100" spans="1:12" ht="15.75" customHeight="1">
      <c r="A100" s="6" t="str">
        <f>'SAP Results'!A100</f>
        <v>5</v>
      </c>
      <c r="B100" s="5">
        <f>'SAP Results'!B100</f>
        <v>8.0500000000000007</v>
      </c>
      <c r="C100" s="6" t="str">
        <f>'SAP Results'!C100</f>
        <v>EX</v>
      </c>
      <c r="D100" s="6" t="str">
        <f>'SAP Results'!D100</f>
        <v>LinStatic</v>
      </c>
      <c r="E100" s="5">
        <f>'SAP Results'!E100</f>
        <v>0</v>
      </c>
      <c r="F100" s="5">
        <f>'SAP Results'!F100</f>
        <v>18.693999999999999</v>
      </c>
      <c r="G100" s="5">
        <f>'SAP Results'!G100</f>
        <v>0</v>
      </c>
      <c r="H100" s="5">
        <f>'SAP Results'!H100</f>
        <v>0</v>
      </c>
      <c r="I100" s="5">
        <f>'SAP Results'!I100</f>
        <v>0</v>
      </c>
      <c r="J100" s="5">
        <f>'SAP Results'!J100</f>
        <v>-85.904799999999994</v>
      </c>
      <c r="K100" s="6" t="str">
        <f>'SAP Results'!K100</f>
        <v>5-1</v>
      </c>
      <c r="L100" s="5">
        <f>'SAP Results'!L100</f>
        <v>8.0500000000000007</v>
      </c>
    </row>
    <row r="101" spans="1:12" ht="15.75" hidden="1" customHeight="1">
      <c r="A101" s="6" t="str">
        <f>'SAP Results'!A101</f>
        <v>5</v>
      </c>
      <c r="B101" s="5">
        <f>'SAP Results'!B101</f>
        <v>0</v>
      </c>
      <c r="C101" s="6" t="str">
        <f>'SAP Results'!C101</f>
        <v>G-1</v>
      </c>
      <c r="D101" s="6" t="str">
        <f>'SAP Results'!D101</f>
        <v>LinStatic</v>
      </c>
      <c r="E101" s="5">
        <f>'SAP Results'!E101</f>
        <v>0</v>
      </c>
      <c r="F101" s="5">
        <f>'SAP Results'!F101</f>
        <v>-10.212999999999999</v>
      </c>
      <c r="G101" s="5">
        <f>'SAP Results'!G101</f>
        <v>0</v>
      </c>
      <c r="H101" s="5">
        <f>'SAP Results'!H101</f>
        <v>0</v>
      </c>
      <c r="I101" s="5">
        <f>'SAP Results'!I101</f>
        <v>0</v>
      </c>
      <c r="J101" s="5">
        <f>'SAP Results'!J101</f>
        <v>-72.061999999999998</v>
      </c>
      <c r="K101" s="6" t="str">
        <f>'SAP Results'!K101</f>
        <v>5-1</v>
      </c>
      <c r="L101" s="5">
        <f>'SAP Results'!L101</f>
        <v>0</v>
      </c>
    </row>
    <row r="102" spans="1:12" ht="15.75" hidden="1" customHeight="1">
      <c r="A102" s="6" t="str">
        <f>'SAP Results'!A102</f>
        <v>5</v>
      </c>
      <c r="B102" s="5">
        <f>'SAP Results'!B102</f>
        <v>1.0062500000000001</v>
      </c>
      <c r="C102" s="6" t="str">
        <f>'SAP Results'!C102</f>
        <v>G-1</v>
      </c>
      <c r="D102" s="6" t="str">
        <f>'SAP Results'!D102</f>
        <v>LinStatic</v>
      </c>
      <c r="E102" s="5">
        <f>'SAP Results'!E102</f>
        <v>0</v>
      </c>
      <c r="F102" s="5">
        <f>'SAP Results'!F102</f>
        <v>-10.212999999999999</v>
      </c>
      <c r="G102" s="5">
        <f>'SAP Results'!G102</f>
        <v>0</v>
      </c>
      <c r="H102" s="5">
        <f>'SAP Results'!H102</f>
        <v>0</v>
      </c>
      <c r="I102" s="5">
        <f>'SAP Results'!I102</f>
        <v>0</v>
      </c>
      <c r="J102" s="5">
        <f>'SAP Results'!J102</f>
        <v>-61.784999999999997</v>
      </c>
      <c r="K102" s="6" t="str">
        <f>'SAP Results'!K102</f>
        <v>5-1</v>
      </c>
      <c r="L102" s="5">
        <f>'SAP Results'!L102</f>
        <v>1.0062500000000001</v>
      </c>
    </row>
    <row r="103" spans="1:12" ht="15.75" hidden="1" customHeight="1">
      <c r="A103" s="6" t="str">
        <f>'SAP Results'!A103</f>
        <v>5</v>
      </c>
      <c r="B103" s="5">
        <f>'SAP Results'!B103</f>
        <v>2.0125000000000002</v>
      </c>
      <c r="C103" s="6" t="str">
        <f>'SAP Results'!C103</f>
        <v>G-1</v>
      </c>
      <c r="D103" s="6" t="str">
        <f>'SAP Results'!D103</f>
        <v>LinStatic</v>
      </c>
      <c r="E103" s="5">
        <f>'SAP Results'!E103</f>
        <v>0</v>
      </c>
      <c r="F103" s="5">
        <f>'SAP Results'!F103</f>
        <v>-10.212999999999999</v>
      </c>
      <c r="G103" s="5">
        <f>'SAP Results'!G103</f>
        <v>0</v>
      </c>
      <c r="H103" s="5">
        <f>'SAP Results'!H103</f>
        <v>0</v>
      </c>
      <c r="I103" s="5">
        <f>'SAP Results'!I103</f>
        <v>0</v>
      </c>
      <c r="J103" s="5">
        <f>'SAP Results'!J103</f>
        <v>-51.507899999999999</v>
      </c>
      <c r="K103" s="6" t="str">
        <f>'SAP Results'!K103</f>
        <v>5-1</v>
      </c>
      <c r="L103" s="5">
        <f>'SAP Results'!L103</f>
        <v>2.0125000000000002</v>
      </c>
    </row>
    <row r="104" spans="1:12" ht="15.75" hidden="1" customHeight="1">
      <c r="A104" s="6" t="str">
        <f>'SAP Results'!A104</f>
        <v>5</v>
      </c>
      <c r="B104" s="5">
        <f>'SAP Results'!B104</f>
        <v>3.0187499999999998</v>
      </c>
      <c r="C104" s="6" t="str">
        <f>'SAP Results'!C104</f>
        <v>G-1</v>
      </c>
      <c r="D104" s="6" t="str">
        <f>'SAP Results'!D104</f>
        <v>LinStatic</v>
      </c>
      <c r="E104" s="5">
        <f>'SAP Results'!E104</f>
        <v>0</v>
      </c>
      <c r="F104" s="5">
        <f>'SAP Results'!F104</f>
        <v>-10.212999999999999</v>
      </c>
      <c r="G104" s="5">
        <f>'SAP Results'!G104</f>
        <v>0</v>
      </c>
      <c r="H104" s="5">
        <f>'SAP Results'!H104</f>
        <v>0</v>
      </c>
      <c r="I104" s="5">
        <f>'SAP Results'!I104</f>
        <v>0</v>
      </c>
      <c r="J104" s="5">
        <f>'SAP Results'!J104</f>
        <v>-41.230899999999998</v>
      </c>
      <c r="K104" s="6" t="str">
        <f>'SAP Results'!K104</f>
        <v>5-1</v>
      </c>
      <c r="L104" s="5">
        <f>'SAP Results'!L104</f>
        <v>3.0187499999999998</v>
      </c>
    </row>
    <row r="105" spans="1:12" ht="15.75" hidden="1" customHeight="1">
      <c r="A105" s="6" t="str">
        <f>'SAP Results'!A105</f>
        <v>5</v>
      </c>
      <c r="B105" s="5">
        <f>'SAP Results'!B105</f>
        <v>4.0250000000000004</v>
      </c>
      <c r="C105" s="6" t="str">
        <f>'SAP Results'!C105</f>
        <v>G-1</v>
      </c>
      <c r="D105" s="6" t="str">
        <f>'SAP Results'!D105</f>
        <v>LinStatic</v>
      </c>
      <c r="E105" s="5">
        <f>'SAP Results'!E105</f>
        <v>0</v>
      </c>
      <c r="F105" s="5">
        <f>'SAP Results'!F105</f>
        <v>-10.212999999999999</v>
      </c>
      <c r="G105" s="5">
        <f>'SAP Results'!G105</f>
        <v>0</v>
      </c>
      <c r="H105" s="5">
        <f>'SAP Results'!H105</f>
        <v>0</v>
      </c>
      <c r="I105" s="5">
        <f>'SAP Results'!I105</f>
        <v>0</v>
      </c>
      <c r="J105" s="5">
        <f>'SAP Results'!J105</f>
        <v>-30.953800000000001</v>
      </c>
      <c r="K105" s="6" t="str">
        <f>'SAP Results'!K105</f>
        <v>5-1</v>
      </c>
      <c r="L105" s="5">
        <f>'SAP Results'!L105</f>
        <v>4.0250000000000004</v>
      </c>
    </row>
    <row r="106" spans="1:12" ht="15.75" hidden="1" customHeight="1">
      <c r="A106" s="6" t="str">
        <f>'SAP Results'!A106</f>
        <v>5</v>
      </c>
      <c r="B106" s="5">
        <f>'SAP Results'!B106</f>
        <v>5.03125</v>
      </c>
      <c r="C106" s="6" t="str">
        <f>'SAP Results'!C106</f>
        <v>G-1</v>
      </c>
      <c r="D106" s="6" t="str">
        <f>'SAP Results'!D106</f>
        <v>LinStatic</v>
      </c>
      <c r="E106" s="5">
        <f>'SAP Results'!E106</f>
        <v>0</v>
      </c>
      <c r="F106" s="5">
        <f>'SAP Results'!F106</f>
        <v>-10.212999999999999</v>
      </c>
      <c r="G106" s="5">
        <f>'SAP Results'!G106</f>
        <v>0</v>
      </c>
      <c r="H106" s="5">
        <f>'SAP Results'!H106</f>
        <v>0</v>
      </c>
      <c r="I106" s="5">
        <f>'SAP Results'!I106</f>
        <v>0</v>
      </c>
      <c r="J106" s="5">
        <f>'SAP Results'!J106</f>
        <v>-20.6768</v>
      </c>
      <c r="K106" s="6" t="str">
        <f>'SAP Results'!K106</f>
        <v>5-1</v>
      </c>
      <c r="L106" s="5">
        <f>'SAP Results'!L106</f>
        <v>5.03125</v>
      </c>
    </row>
    <row r="107" spans="1:12" ht="15.75" hidden="1" customHeight="1">
      <c r="A107" s="6" t="str">
        <f>'SAP Results'!A107</f>
        <v>5</v>
      </c>
      <c r="B107" s="5">
        <f>'SAP Results'!B107</f>
        <v>6.0374999999999996</v>
      </c>
      <c r="C107" s="6" t="str">
        <f>'SAP Results'!C107</f>
        <v>G-1</v>
      </c>
      <c r="D107" s="6" t="str">
        <f>'SAP Results'!D107</f>
        <v>LinStatic</v>
      </c>
      <c r="E107" s="5">
        <f>'SAP Results'!E107</f>
        <v>0</v>
      </c>
      <c r="F107" s="5">
        <f>'SAP Results'!F107</f>
        <v>-10.212999999999999</v>
      </c>
      <c r="G107" s="5">
        <f>'SAP Results'!G107</f>
        <v>0</v>
      </c>
      <c r="H107" s="5">
        <f>'SAP Results'!H107</f>
        <v>0</v>
      </c>
      <c r="I107" s="5">
        <f>'SAP Results'!I107</f>
        <v>0</v>
      </c>
      <c r="J107" s="5">
        <f>'SAP Results'!J107</f>
        <v>-10.399800000000001</v>
      </c>
      <c r="K107" s="6" t="str">
        <f>'SAP Results'!K107</f>
        <v>5-1</v>
      </c>
      <c r="L107" s="5">
        <f>'SAP Results'!L107</f>
        <v>6.0374999999999996</v>
      </c>
    </row>
    <row r="108" spans="1:12" ht="15.75" hidden="1" customHeight="1">
      <c r="A108" s="6" t="str">
        <f>'SAP Results'!A108</f>
        <v>5</v>
      </c>
      <c r="B108" s="5">
        <f>'SAP Results'!B108</f>
        <v>7.0437500000000002</v>
      </c>
      <c r="C108" s="6" t="str">
        <f>'SAP Results'!C108</f>
        <v>G-1</v>
      </c>
      <c r="D108" s="6" t="str">
        <f>'SAP Results'!D108</f>
        <v>LinStatic</v>
      </c>
      <c r="E108" s="5">
        <f>'SAP Results'!E108</f>
        <v>0</v>
      </c>
      <c r="F108" s="5">
        <f>'SAP Results'!F108</f>
        <v>-10.212999999999999</v>
      </c>
      <c r="G108" s="5">
        <f>'SAP Results'!G108</f>
        <v>0</v>
      </c>
      <c r="H108" s="5">
        <f>'SAP Results'!H108</f>
        <v>0</v>
      </c>
      <c r="I108" s="5">
        <f>'SAP Results'!I108</f>
        <v>0</v>
      </c>
      <c r="J108" s="5">
        <f>'SAP Results'!J108</f>
        <v>-0.1227</v>
      </c>
      <c r="K108" s="6" t="str">
        <f>'SAP Results'!K108</f>
        <v>5-1</v>
      </c>
      <c r="L108" s="5">
        <f>'SAP Results'!L108</f>
        <v>7.0437500000000002</v>
      </c>
    </row>
    <row r="109" spans="1:12" ht="15.75" hidden="1" customHeight="1">
      <c r="A109" s="6" t="str">
        <f>'SAP Results'!A109</f>
        <v>5</v>
      </c>
      <c r="B109" s="5">
        <f>'SAP Results'!B109</f>
        <v>8.0500000000000007</v>
      </c>
      <c r="C109" s="6" t="str">
        <f>'SAP Results'!C109</f>
        <v>G-1</v>
      </c>
      <c r="D109" s="6" t="str">
        <f>'SAP Results'!D109</f>
        <v>LinStatic</v>
      </c>
      <c r="E109" s="5">
        <f>'SAP Results'!E109</f>
        <v>0</v>
      </c>
      <c r="F109" s="5">
        <f>'SAP Results'!F109</f>
        <v>-10.212999999999999</v>
      </c>
      <c r="G109" s="5">
        <f>'SAP Results'!G109</f>
        <v>0</v>
      </c>
      <c r="H109" s="5">
        <f>'SAP Results'!H109</f>
        <v>0</v>
      </c>
      <c r="I109" s="5">
        <f>'SAP Results'!I109</f>
        <v>0</v>
      </c>
      <c r="J109" s="5">
        <f>'SAP Results'!J109</f>
        <v>10.154299999999999</v>
      </c>
      <c r="K109" s="6" t="str">
        <f>'SAP Results'!K109</f>
        <v>5-1</v>
      </c>
      <c r="L109" s="5">
        <f>'SAP Results'!L109</f>
        <v>8.0500000000000007</v>
      </c>
    </row>
    <row r="110" spans="1:12" ht="15.75" hidden="1" customHeight="1">
      <c r="A110" s="6" t="str">
        <f>'SAP Results'!A110</f>
        <v>5</v>
      </c>
      <c r="B110" s="5">
        <f>'SAP Results'!B110</f>
        <v>0</v>
      </c>
      <c r="C110" s="6" t="str">
        <f>'SAP Results'!C110</f>
        <v>G-2</v>
      </c>
      <c r="D110" s="6" t="str">
        <f>'SAP Results'!D110</f>
        <v>LinStatic</v>
      </c>
      <c r="E110" s="5">
        <f>'SAP Results'!E110</f>
        <v>0</v>
      </c>
      <c r="F110" s="5">
        <f>'SAP Results'!F110</f>
        <v>-168.333</v>
      </c>
      <c r="G110" s="5">
        <f>'SAP Results'!G110</f>
        <v>0</v>
      </c>
      <c r="H110" s="5">
        <f>'SAP Results'!H110</f>
        <v>0</v>
      </c>
      <c r="I110" s="5">
        <f>'SAP Results'!I110</f>
        <v>0</v>
      </c>
      <c r="J110" s="5">
        <f>'SAP Results'!J110</f>
        <v>-187.4752</v>
      </c>
      <c r="K110" s="6" t="str">
        <f>'SAP Results'!K110</f>
        <v>5-1</v>
      </c>
      <c r="L110" s="5">
        <f>'SAP Results'!L110</f>
        <v>0</v>
      </c>
    </row>
    <row r="111" spans="1:12" ht="15.75" hidden="1" customHeight="1">
      <c r="A111" s="6" t="str">
        <f>'SAP Results'!A111</f>
        <v>5</v>
      </c>
      <c r="B111" s="5">
        <f>'SAP Results'!B111</f>
        <v>1.0062500000000001</v>
      </c>
      <c r="C111" s="6" t="str">
        <f>'SAP Results'!C111</f>
        <v>G-2</v>
      </c>
      <c r="D111" s="6" t="str">
        <f>'SAP Results'!D111</f>
        <v>LinStatic</v>
      </c>
      <c r="E111" s="5">
        <f>'SAP Results'!E111</f>
        <v>0</v>
      </c>
      <c r="F111" s="5">
        <f>'SAP Results'!F111</f>
        <v>-128.19300000000001</v>
      </c>
      <c r="G111" s="5">
        <f>'SAP Results'!G111</f>
        <v>0</v>
      </c>
      <c r="H111" s="5">
        <f>'SAP Results'!H111</f>
        <v>0</v>
      </c>
      <c r="I111" s="5">
        <f>'SAP Results'!I111</f>
        <v>0</v>
      </c>
      <c r="J111" s="5">
        <f>'SAP Results'!J111</f>
        <v>-38.285499999999999</v>
      </c>
      <c r="K111" s="6" t="str">
        <f>'SAP Results'!K111</f>
        <v>5-1</v>
      </c>
      <c r="L111" s="5">
        <f>'SAP Results'!L111</f>
        <v>1.0062500000000001</v>
      </c>
    </row>
    <row r="112" spans="1:12" ht="15.75" hidden="1" customHeight="1">
      <c r="A112" s="6" t="str">
        <f>'SAP Results'!A112</f>
        <v>5</v>
      </c>
      <c r="B112" s="5">
        <f>'SAP Results'!B112</f>
        <v>2.0125000000000002</v>
      </c>
      <c r="C112" s="6" t="str">
        <f>'SAP Results'!C112</f>
        <v>G-2</v>
      </c>
      <c r="D112" s="6" t="str">
        <f>'SAP Results'!D112</f>
        <v>LinStatic</v>
      </c>
      <c r="E112" s="5">
        <f>'SAP Results'!E112</f>
        <v>0</v>
      </c>
      <c r="F112" s="5">
        <f>'SAP Results'!F112</f>
        <v>-88.054000000000002</v>
      </c>
      <c r="G112" s="5">
        <f>'SAP Results'!G112</f>
        <v>0</v>
      </c>
      <c r="H112" s="5">
        <f>'SAP Results'!H112</f>
        <v>0</v>
      </c>
      <c r="I112" s="5">
        <f>'SAP Results'!I112</f>
        <v>0</v>
      </c>
      <c r="J112" s="5">
        <f>'SAP Results'!J112</f>
        <v>70.514099999999999</v>
      </c>
      <c r="K112" s="6" t="str">
        <f>'SAP Results'!K112</f>
        <v>5-1</v>
      </c>
      <c r="L112" s="5">
        <f>'SAP Results'!L112</f>
        <v>2.0125000000000002</v>
      </c>
    </row>
    <row r="113" spans="1:12" ht="15.75" hidden="1" customHeight="1">
      <c r="A113" s="6" t="str">
        <f>'SAP Results'!A113</f>
        <v>5</v>
      </c>
      <c r="B113" s="5">
        <f>'SAP Results'!B113</f>
        <v>3.0187499999999998</v>
      </c>
      <c r="C113" s="6" t="str">
        <f>'SAP Results'!C113</f>
        <v>G-2</v>
      </c>
      <c r="D113" s="6" t="str">
        <f>'SAP Results'!D113</f>
        <v>LinStatic</v>
      </c>
      <c r="E113" s="5">
        <f>'SAP Results'!E113</f>
        <v>0</v>
      </c>
      <c r="F113" s="5">
        <f>'SAP Results'!F113</f>
        <v>-47.914999999999999</v>
      </c>
      <c r="G113" s="5">
        <f>'SAP Results'!G113</f>
        <v>0</v>
      </c>
      <c r="H113" s="5">
        <f>'SAP Results'!H113</f>
        <v>0</v>
      </c>
      <c r="I113" s="5">
        <f>'SAP Results'!I113</f>
        <v>0</v>
      </c>
      <c r="J113" s="5">
        <f>'SAP Results'!J113</f>
        <v>138.92349999999999</v>
      </c>
      <c r="K113" s="6" t="str">
        <f>'SAP Results'!K113</f>
        <v>5-1</v>
      </c>
      <c r="L113" s="5">
        <f>'SAP Results'!L113</f>
        <v>3.0187499999999998</v>
      </c>
    </row>
    <row r="114" spans="1:12" ht="15.75" hidden="1" customHeight="1">
      <c r="A114" s="6" t="str">
        <f>'SAP Results'!A114</f>
        <v>5</v>
      </c>
      <c r="B114" s="5">
        <f>'SAP Results'!B114</f>
        <v>4.0250000000000004</v>
      </c>
      <c r="C114" s="6" t="str">
        <f>'SAP Results'!C114</f>
        <v>G-2</v>
      </c>
      <c r="D114" s="6" t="str">
        <f>'SAP Results'!D114</f>
        <v>LinStatic</v>
      </c>
      <c r="E114" s="5">
        <f>'SAP Results'!E114</f>
        <v>0</v>
      </c>
      <c r="F114" s="5">
        <f>'SAP Results'!F114</f>
        <v>-7.7759999999999998</v>
      </c>
      <c r="G114" s="5">
        <f>'SAP Results'!G114</f>
        <v>0</v>
      </c>
      <c r="H114" s="5">
        <f>'SAP Results'!H114</f>
        <v>0</v>
      </c>
      <c r="I114" s="5">
        <f>'SAP Results'!I114</f>
        <v>0</v>
      </c>
      <c r="J114" s="5">
        <f>'SAP Results'!J114</f>
        <v>166.9427</v>
      </c>
      <c r="K114" s="6" t="str">
        <f>'SAP Results'!K114</f>
        <v>5-1</v>
      </c>
      <c r="L114" s="5">
        <f>'SAP Results'!L114</f>
        <v>4.0250000000000004</v>
      </c>
    </row>
    <row r="115" spans="1:12" ht="15.75" hidden="1" customHeight="1">
      <c r="A115" s="6" t="str">
        <f>'SAP Results'!A115</f>
        <v>5</v>
      </c>
      <c r="B115" s="5">
        <f>'SAP Results'!B115</f>
        <v>5.03125</v>
      </c>
      <c r="C115" s="6" t="str">
        <f>'SAP Results'!C115</f>
        <v>G-2</v>
      </c>
      <c r="D115" s="6" t="str">
        <f>'SAP Results'!D115</f>
        <v>LinStatic</v>
      </c>
      <c r="E115" s="5">
        <f>'SAP Results'!E115</f>
        <v>0</v>
      </c>
      <c r="F115" s="5">
        <f>'SAP Results'!F115</f>
        <v>32.363999999999997</v>
      </c>
      <c r="G115" s="5">
        <f>'SAP Results'!G115</f>
        <v>0</v>
      </c>
      <c r="H115" s="5">
        <f>'SAP Results'!H115</f>
        <v>0</v>
      </c>
      <c r="I115" s="5">
        <f>'SAP Results'!I115</f>
        <v>0</v>
      </c>
      <c r="J115" s="5">
        <f>'SAP Results'!J115</f>
        <v>154.5718</v>
      </c>
      <c r="K115" s="6" t="str">
        <f>'SAP Results'!K115</f>
        <v>5-1</v>
      </c>
      <c r="L115" s="5">
        <f>'SAP Results'!L115</f>
        <v>5.03125</v>
      </c>
    </row>
    <row r="116" spans="1:12" ht="15.75" hidden="1" customHeight="1">
      <c r="A116" s="6" t="str">
        <f>'SAP Results'!A116</f>
        <v>5</v>
      </c>
      <c r="B116" s="5">
        <f>'SAP Results'!B116</f>
        <v>6.0374999999999996</v>
      </c>
      <c r="C116" s="6" t="str">
        <f>'SAP Results'!C116</f>
        <v>G-2</v>
      </c>
      <c r="D116" s="6" t="str">
        <f>'SAP Results'!D116</f>
        <v>LinStatic</v>
      </c>
      <c r="E116" s="5">
        <f>'SAP Results'!E116</f>
        <v>0</v>
      </c>
      <c r="F116" s="5">
        <f>'SAP Results'!F116</f>
        <v>72.503</v>
      </c>
      <c r="G116" s="5">
        <f>'SAP Results'!G116</f>
        <v>0</v>
      </c>
      <c r="H116" s="5">
        <f>'SAP Results'!H116</f>
        <v>0</v>
      </c>
      <c r="I116" s="5">
        <f>'SAP Results'!I116</f>
        <v>0</v>
      </c>
      <c r="J116" s="5">
        <f>'SAP Results'!J116</f>
        <v>101.81059999999999</v>
      </c>
      <c r="K116" s="6" t="str">
        <f>'SAP Results'!K116</f>
        <v>5-1</v>
      </c>
      <c r="L116" s="5">
        <f>'SAP Results'!L116</f>
        <v>6.0374999999999996</v>
      </c>
    </row>
    <row r="117" spans="1:12" ht="15.75" hidden="1" customHeight="1">
      <c r="A117" s="6" t="str">
        <f>'SAP Results'!A117</f>
        <v>5</v>
      </c>
      <c r="B117" s="5">
        <f>'SAP Results'!B117</f>
        <v>7.0437500000000002</v>
      </c>
      <c r="C117" s="6" t="str">
        <f>'SAP Results'!C117</f>
        <v>G-2</v>
      </c>
      <c r="D117" s="6" t="str">
        <f>'SAP Results'!D117</f>
        <v>LinStatic</v>
      </c>
      <c r="E117" s="5">
        <f>'SAP Results'!E117</f>
        <v>0</v>
      </c>
      <c r="F117" s="5">
        <f>'SAP Results'!F117</f>
        <v>112.642</v>
      </c>
      <c r="G117" s="5">
        <f>'SAP Results'!G117</f>
        <v>0</v>
      </c>
      <c r="H117" s="5">
        <f>'SAP Results'!H117</f>
        <v>0</v>
      </c>
      <c r="I117" s="5">
        <f>'SAP Results'!I117</f>
        <v>0</v>
      </c>
      <c r="J117" s="5">
        <f>'SAP Results'!J117</f>
        <v>8.6593</v>
      </c>
      <c r="K117" s="6" t="str">
        <f>'SAP Results'!K117</f>
        <v>5-1</v>
      </c>
      <c r="L117" s="5">
        <f>'SAP Results'!L117</f>
        <v>7.0437500000000002</v>
      </c>
    </row>
    <row r="118" spans="1:12" ht="15.75" hidden="1" customHeight="1">
      <c r="A118" s="6" t="str">
        <f>'SAP Results'!A118</f>
        <v>5</v>
      </c>
      <c r="B118" s="5">
        <f>'SAP Results'!B118</f>
        <v>8.0500000000000007</v>
      </c>
      <c r="C118" s="6" t="str">
        <f>'SAP Results'!C118</f>
        <v>G-2</v>
      </c>
      <c r="D118" s="6" t="str">
        <f>'SAP Results'!D118</f>
        <v>LinStatic</v>
      </c>
      <c r="E118" s="5">
        <f>'SAP Results'!E118</f>
        <v>0</v>
      </c>
      <c r="F118" s="5">
        <f>'SAP Results'!F118</f>
        <v>152.78200000000001</v>
      </c>
      <c r="G118" s="5">
        <f>'SAP Results'!G118</f>
        <v>0</v>
      </c>
      <c r="H118" s="5">
        <f>'SAP Results'!H118</f>
        <v>0</v>
      </c>
      <c r="I118" s="5">
        <f>'SAP Results'!I118</f>
        <v>0</v>
      </c>
      <c r="J118" s="5">
        <f>'SAP Results'!J118</f>
        <v>-124.8822</v>
      </c>
      <c r="K118" s="6" t="str">
        <f>'SAP Results'!K118</f>
        <v>5-1</v>
      </c>
      <c r="L118" s="5">
        <f>'SAP Results'!L118</f>
        <v>8.0500000000000007</v>
      </c>
    </row>
    <row r="119" spans="1:12" ht="15.75" hidden="1" customHeight="1">
      <c r="A119" s="6" t="str">
        <f>'SAP Results'!A119</f>
        <v>5</v>
      </c>
      <c r="B119" s="5">
        <f>'SAP Results'!B119</f>
        <v>0</v>
      </c>
      <c r="C119" s="6" t="str">
        <f>'SAP Results'!C119</f>
        <v>Q-1</v>
      </c>
      <c r="D119" s="6" t="str">
        <f>'SAP Results'!D119</f>
        <v>LinStatic</v>
      </c>
      <c r="E119" s="5">
        <f>'SAP Results'!E119</f>
        <v>0</v>
      </c>
      <c r="F119" s="5">
        <f>'SAP Results'!F119</f>
        <v>-5.1529999999999996</v>
      </c>
      <c r="G119" s="5">
        <f>'SAP Results'!G119</f>
        <v>0</v>
      </c>
      <c r="H119" s="5">
        <f>'SAP Results'!H119</f>
        <v>0</v>
      </c>
      <c r="I119" s="5">
        <f>'SAP Results'!I119</f>
        <v>0</v>
      </c>
      <c r="J119" s="5">
        <f>'SAP Results'!J119</f>
        <v>-36.356200000000001</v>
      </c>
      <c r="K119" s="6" t="str">
        <f>'SAP Results'!K119</f>
        <v>5-1</v>
      </c>
      <c r="L119" s="5">
        <f>'SAP Results'!L119</f>
        <v>0</v>
      </c>
    </row>
    <row r="120" spans="1:12" ht="15.75" hidden="1" customHeight="1">
      <c r="A120" s="6" t="str">
        <f>'SAP Results'!A120</f>
        <v>5</v>
      </c>
      <c r="B120" s="5">
        <f>'SAP Results'!B120</f>
        <v>1.0062500000000001</v>
      </c>
      <c r="C120" s="6" t="str">
        <f>'SAP Results'!C120</f>
        <v>Q-1</v>
      </c>
      <c r="D120" s="6" t="str">
        <f>'SAP Results'!D120</f>
        <v>LinStatic</v>
      </c>
      <c r="E120" s="5">
        <f>'SAP Results'!E120</f>
        <v>0</v>
      </c>
      <c r="F120" s="5">
        <f>'SAP Results'!F120</f>
        <v>-5.1529999999999996</v>
      </c>
      <c r="G120" s="5">
        <f>'SAP Results'!G120</f>
        <v>0</v>
      </c>
      <c r="H120" s="5">
        <f>'SAP Results'!H120</f>
        <v>0</v>
      </c>
      <c r="I120" s="5">
        <f>'SAP Results'!I120</f>
        <v>0</v>
      </c>
      <c r="J120" s="5">
        <f>'SAP Results'!J120</f>
        <v>-31.171299999999999</v>
      </c>
      <c r="K120" s="6" t="str">
        <f>'SAP Results'!K120</f>
        <v>5-1</v>
      </c>
      <c r="L120" s="5">
        <f>'SAP Results'!L120</f>
        <v>1.0062500000000001</v>
      </c>
    </row>
    <row r="121" spans="1:12" ht="15.75" hidden="1" customHeight="1">
      <c r="A121" s="6" t="str">
        <f>'SAP Results'!A121</f>
        <v>5</v>
      </c>
      <c r="B121" s="5">
        <f>'SAP Results'!B121</f>
        <v>2.0125000000000002</v>
      </c>
      <c r="C121" s="6" t="str">
        <f>'SAP Results'!C121</f>
        <v>Q-1</v>
      </c>
      <c r="D121" s="6" t="str">
        <f>'SAP Results'!D121</f>
        <v>LinStatic</v>
      </c>
      <c r="E121" s="5">
        <f>'SAP Results'!E121</f>
        <v>0</v>
      </c>
      <c r="F121" s="5">
        <f>'SAP Results'!F121</f>
        <v>-5.1529999999999996</v>
      </c>
      <c r="G121" s="5">
        <f>'SAP Results'!G121</f>
        <v>0</v>
      </c>
      <c r="H121" s="5">
        <f>'SAP Results'!H121</f>
        <v>0</v>
      </c>
      <c r="I121" s="5">
        <f>'SAP Results'!I121</f>
        <v>0</v>
      </c>
      <c r="J121" s="5">
        <f>'SAP Results'!J121</f>
        <v>-25.9864</v>
      </c>
      <c r="K121" s="6" t="str">
        <f>'SAP Results'!K121</f>
        <v>5-1</v>
      </c>
      <c r="L121" s="5">
        <f>'SAP Results'!L121</f>
        <v>2.0125000000000002</v>
      </c>
    </row>
    <row r="122" spans="1:12" ht="15.75" hidden="1" customHeight="1">
      <c r="A122" s="6" t="str">
        <f>'SAP Results'!A122</f>
        <v>5</v>
      </c>
      <c r="B122" s="5">
        <f>'SAP Results'!B122</f>
        <v>3.0187499999999998</v>
      </c>
      <c r="C122" s="6" t="str">
        <f>'SAP Results'!C122</f>
        <v>Q-1</v>
      </c>
      <c r="D122" s="6" t="str">
        <f>'SAP Results'!D122</f>
        <v>LinStatic</v>
      </c>
      <c r="E122" s="5">
        <f>'SAP Results'!E122</f>
        <v>0</v>
      </c>
      <c r="F122" s="5">
        <f>'SAP Results'!F122</f>
        <v>-5.1529999999999996</v>
      </c>
      <c r="G122" s="5">
        <f>'SAP Results'!G122</f>
        <v>0</v>
      </c>
      <c r="H122" s="5">
        <f>'SAP Results'!H122</f>
        <v>0</v>
      </c>
      <c r="I122" s="5">
        <f>'SAP Results'!I122</f>
        <v>0</v>
      </c>
      <c r="J122" s="5">
        <f>'SAP Results'!J122</f>
        <v>-20.801500000000001</v>
      </c>
      <c r="K122" s="6" t="str">
        <f>'SAP Results'!K122</f>
        <v>5-1</v>
      </c>
      <c r="L122" s="5">
        <f>'SAP Results'!L122</f>
        <v>3.0187499999999998</v>
      </c>
    </row>
    <row r="123" spans="1:12" ht="15.75" hidden="1" customHeight="1">
      <c r="A123" s="6" t="str">
        <f>'SAP Results'!A123</f>
        <v>5</v>
      </c>
      <c r="B123" s="5">
        <f>'SAP Results'!B123</f>
        <v>4.0250000000000004</v>
      </c>
      <c r="C123" s="6" t="str">
        <f>'SAP Results'!C123</f>
        <v>Q-1</v>
      </c>
      <c r="D123" s="6" t="str">
        <f>'SAP Results'!D123</f>
        <v>LinStatic</v>
      </c>
      <c r="E123" s="5">
        <f>'SAP Results'!E123</f>
        <v>0</v>
      </c>
      <c r="F123" s="5">
        <f>'SAP Results'!F123</f>
        <v>-5.1529999999999996</v>
      </c>
      <c r="G123" s="5">
        <f>'SAP Results'!G123</f>
        <v>0</v>
      </c>
      <c r="H123" s="5">
        <f>'SAP Results'!H123</f>
        <v>0</v>
      </c>
      <c r="I123" s="5">
        <f>'SAP Results'!I123</f>
        <v>0</v>
      </c>
      <c r="J123" s="5">
        <f>'SAP Results'!J123</f>
        <v>-15.6166</v>
      </c>
      <c r="K123" s="6" t="str">
        <f>'SAP Results'!K123</f>
        <v>5-1</v>
      </c>
      <c r="L123" s="5">
        <f>'SAP Results'!L123</f>
        <v>4.0250000000000004</v>
      </c>
    </row>
    <row r="124" spans="1:12" ht="15.75" hidden="1" customHeight="1">
      <c r="A124" s="6" t="str">
        <f>'SAP Results'!A124</f>
        <v>5</v>
      </c>
      <c r="B124" s="5">
        <f>'SAP Results'!B124</f>
        <v>5.03125</v>
      </c>
      <c r="C124" s="6" t="str">
        <f>'SAP Results'!C124</f>
        <v>Q-1</v>
      </c>
      <c r="D124" s="6" t="str">
        <f>'SAP Results'!D124</f>
        <v>LinStatic</v>
      </c>
      <c r="E124" s="5">
        <f>'SAP Results'!E124</f>
        <v>0</v>
      </c>
      <c r="F124" s="5">
        <f>'SAP Results'!F124</f>
        <v>-5.1529999999999996</v>
      </c>
      <c r="G124" s="5">
        <f>'SAP Results'!G124</f>
        <v>0</v>
      </c>
      <c r="H124" s="5">
        <f>'SAP Results'!H124</f>
        <v>0</v>
      </c>
      <c r="I124" s="5">
        <f>'SAP Results'!I124</f>
        <v>0</v>
      </c>
      <c r="J124" s="5">
        <f>'SAP Results'!J124</f>
        <v>-10.431699999999999</v>
      </c>
      <c r="K124" s="6" t="str">
        <f>'SAP Results'!K124</f>
        <v>5-1</v>
      </c>
      <c r="L124" s="5">
        <f>'SAP Results'!L124</f>
        <v>5.03125</v>
      </c>
    </row>
    <row r="125" spans="1:12" ht="15.75" hidden="1" customHeight="1">
      <c r="A125" s="6" t="str">
        <f>'SAP Results'!A125</f>
        <v>5</v>
      </c>
      <c r="B125" s="5">
        <f>'SAP Results'!B125</f>
        <v>6.0374999999999996</v>
      </c>
      <c r="C125" s="6" t="str">
        <f>'SAP Results'!C125</f>
        <v>Q-1</v>
      </c>
      <c r="D125" s="6" t="str">
        <f>'SAP Results'!D125</f>
        <v>LinStatic</v>
      </c>
      <c r="E125" s="5">
        <f>'SAP Results'!E125</f>
        <v>0</v>
      </c>
      <c r="F125" s="5">
        <f>'SAP Results'!F125</f>
        <v>-5.1529999999999996</v>
      </c>
      <c r="G125" s="5">
        <f>'SAP Results'!G125</f>
        <v>0</v>
      </c>
      <c r="H125" s="5">
        <f>'SAP Results'!H125</f>
        <v>0</v>
      </c>
      <c r="I125" s="5">
        <f>'SAP Results'!I125</f>
        <v>0</v>
      </c>
      <c r="J125" s="5">
        <f>'SAP Results'!J125</f>
        <v>-5.2468000000000004</v>
      </c>
      <c r="K125" s="6" t="str">
        <f>'SAP Results'!K125</f>
        <v>5-1</v>
      </c>
      <c r="L125" s="5">
        <f>'SAP Results'!L125</f>
        <v>6.0374999999999996</v>
      </c>
    </row>
    <row r="126" spans="1:12" ht="15.75" hidden="1" customHeight="1">
      <c r="A126" s="6" t="str">
        <f>'SAP Results'!A126</f>
        <v>5</v>
      </c>
      <c r="B126" s="5">
        <f>'SAP Results'!B126</f>
        <v>7.0437500000000002</v>
      </c>
      <c r="C126" s="6" t="str">
        <f>'SAP Results'!C126</f>
        <v>Q-1</v>
      </c>
      <c r="D126" s="6" t="str">
        <f>'SAP Results'!D126</f>
        <v>LinStatic</v>
      </c>
      <c r="E126" s="5">
        <f>'SAP Results'!E126</f>
        <v>0</v>
      </c>
      <c r="F126" s="5">
        <f>'SAP Results'!F126</f>
        <v>-5.1529999999999996</v>
      </c>
      <c r="G126" s="5">
        <f>'SAP Results'!G126</f>
        <v>0</v>
      </c>
      <c r="H126" s="5">
        <f>'SAP Results'!H126</f>
        <v>0</v>
      </c>
      <c r="I126" s="5">
        <f>'SAP Results'!I126</f>
        <v>0</v>
      </c>
      <c r="J126" s="5">
        <f>'SAP Results'!J126</f>
        <v>-6.1899999999999997E-2</v>
      </c>
      <c r="K126" s="6" t="str">
        <f>'SAP Results'!K126</f>
        <v>5-1</v>
      </c>
      <c r="L126" s="5">
        <f>'SAP Results'!L126</f>
        <v>7.0437500000000002</v>
      </c>
    </row>
    <row r="127" spans="1:12" ht="15.75" hidden="1" customHeight="1">
      <c r="A127" s="6" t="str">
        <f>'SAP Results'!A127</f>
        <v>5</v>
      </c>
      <c r="B127" s="5">
        <f>'SAP Results'!B127</f>
        <v>8.0500000000000007</v>
      </c>
      <c r="C127" s="6" t="str">
        <f>'SAP Results'!C127</f>
        <v>Q-1</v>
      </c>
      <c r="D127" s="6" t="str">
        <f>'SAP Results'!D127</f>
        <v>LinStatic</v>
      </c>
      <c r="E127" s="5">
        <f>'SAP Results'!E127</f>
        <v>0</v>
      </c>
      <c r="F127" s="5">
        <f>'SAP Results'!F127</f>
        <v>-5.1529999999999996</v>
      </c>
      <c r="G127" s="5">
        <f>'SAP Results'!G127</f>
        <v>0</v>
      </c>
      <c r="H127" s="5">
        <f>'SAP Results'!H127</f>
        <v>0</v>
      </c>
      <c r="I127" s="5">
        <f>'SAP Results'!I127</f>
        <v>0</v>
      </c>
      <c r="J127" s="5">
        <f>'SAP Results'!J127</f>
        <v>5.1230000000000002</v>
      </c>
      <c r="K127" s="6" t="str">
        <f>'SAP Results'!K127</f>
        <v>5-1</v>
      </c>
      <c r="L127" s="5">
        <f>'SAP Results'!L127</f>
        <v>8.0500000000000007</v>
      </c>
    </row>
    <row r="128" spans="1:12" ht="15.75" hidden="1" customHeight="1">
      <c r="A128" s="6" t="str">
        <f>'SAP Results'!A128</f>
        <v>5</v>
      </c>
      <c r="B128" s="5">
        <f>'SAP Results'!B128</f>
        <v>0</v>
      </c>
      <c r="C128" s="6" t="str">
        <f>'SAP Results'!C128</f>
        <v>Q-2</v>
      </c>
      <c r="D128" s="6" t="str">
        <f>'SAP Results'!D128</f>
        <v>LinStatic</v>
      </c>
      <c r="E128" s="5">
        <f>'SAP Results'!E128</f>
        <v>0</v>
      </c>
      <c r="F128" s="5">
        <f>'SAP Results'!F128</f>
        <v>-84.926000000000002</v>
      </c>
      <c r="G128" s="5">
        <f>'SAP Results'!G128</f>
        <v>0</v>
      </c>
      <c r="H128" s="5">
        <f>'SAP Results'!H128</f>
        <v>0</v>
      </c>
      <c r="I128" s="5">
        <f>'SAP Results'!I128</f>
        <v>0</v>
      </c>
      <c r="J128" s="5">
        <f>'SAP Results'!J128</f>
        <v>-94.583600000000004</v>
      </c>
      <c r="K128" s="6" t="str">
        <f>'SAP Results'!K128</f>
        <v>5-1</v>
      </c>
      <c r="L128" s="5">
        <f>'SAP Results'!L128</f>
        <v>0</v>
      </c>
    </row>
    <row r="129" spans="1:12" ht="15.75" hidden="1" customHeight="1">
      <c r="A129" s="6" t="str">
        <f>'SAP Results'!A129</f>
        <v>5</v>
      </c>
      <c r="B129" s="5">
        <f>'SAP Results'!B129</f>
        <v>1.0062500000000001</v>
      </c>
      <c r="C129" s="6" t="str">
        <f>'SAP Results'!C129</f>
        <v>Q-2</v>
      </c>
      <c r="D129" s="6" t="str">
        <f>'SAP Results'!D129</f>
        <v>LinStatic</v>
      </c>
      <c r="E129" s="5">
        <f>'SAP Results'!E129</f>
        <v>0</v>
      </c>
      <c r="F129" s="5">
        <f>'SAP Results'!F129</f>
        <v>-64.674999999999997</v>
      </c>
      <c r="G129" s="5">
        <f>'SAP Results'!G129</f>
        <v>0</v>
      </c>
      <c r="H129" s="5">
        <f>'SAP Results'!H129</f>
        <v>0</v>
      </c>
      <c r="I129" s="5">
        <f>'SAP Results'!I129</f>
        <v>0</v>
      </c>
      <c r="J129" s="5">
        <f>'SAP Results'!J129</f>
        <v>-19.3155</v>
      </c>
      <c r="K129" s="6" t="str">
        <f>'SAP Results'!K129</f>
        <v>5-1</v>
      </c>
      <c r="L129" s="5">
        <f>'SAP Results'!L129</f>
        <v>1.0062500000000001</v>
      </c>
    </row>
    <row r="130" spans="1:12" ht="15.75" hidden="1" customHeight="1">
      <c r="A130" s="6" t="str">
        <f>'SAP Results'!A130</f>
        <v>5</v>
      </c>
      <c r="B130" s="5">
        <f>'SAP Results'!B130</f>
        <v>2.0125000000000002</v>
      </c>
      <c r="C130" s="6" t="str">
        <f>'SAP Results'!C130</f>
        <v>Q-2</v>
      </c>
      <c r="D130" s="6" t="str">
        <f>'SAP Results'!D130</f>
        <v>LinStatic</v>
      </c>
      <c r="E130" s="5">
        <f>'SAP Results'!E130</f>
        <v>0</v>
      </c>
      <c r="F130" s="5">
        <f>'SAP Results'!F130</f>
        <v>-44.423999999999999</v>
      </c>
      <c r="G130" s="5">
        <f>'SAP Results'!G130</f>
        <v>0</v>
      </c>
      <c r="H130" s="5">
        <f>'SAP Results'!H130</f>
        <v>0</v>
      </c>
      <c r="I130" s="5">
        <f>'SAP Results'!I130</f>
        <v>0</v>
      </c>
      <c r="J130" s="5">
        <f>'SAP Results'!J130</f>
        <v>35.575299999999999</v>
      </c>
      <c r="K130" s="6" t="str">
        <f>'SAP Results'!K130</f>
        <v>5-1</v>
      </c>
      <c r="L130" s="5">
        <f>'SAP Results'!L130</f>
        <v>2.0125000000000002</v>
      </c>
    </row>
    <row r="131" spans="1:12" ht="15.75" hidden="1" customHeight="1">
      <c r="A131" s="6" t="str">
        <f>'SAP Results'!A131</f>
        <v>5</v>
      </c>
      <c r="B131" s="5">
        <f>'SAP Results'!B131</f>
        <v>3.0187499999999998</v>
      </c>
      <c r="C131" s="6" t="str">
        <f>'SAP Results'!C131</f>
        <v>Q-2</v>
      </c>
      <c r="D131" s="6" t="str">
        <f>'SAP Results'!D131</f>
        <v>LinStatic</v>
      </c>
      <c r="E131" s="5">
        <f>'SAP Results'!E131</f>
        <v>0</v>
      </c>
      <c r="F131" s="5">
        <f>'SAP Results'!F131</f>
        <v>-24.173999999999999</v>
      </c>
      <c r="G131" s="5">
        <f>'SAP Results'!G131</f>
        <v>0</v>
      </c>
      <c r="H131" s="5">
        <f>'SAP Results'!H131</f>
        <v>0</v>
      </c>
      <c r="I131" s="5">
        <f>'SAP Results'!I131</f>
        <v>0</v>
      </c>
      <c r="J131" s="5">
        <f>'SAP Results'!J131</f>
        <v>70.0886</v>
      </c>
      <c r="K131" s="6" t="str">
        <f>'SAP Results'!K131</f>
        <v>5-1</v>
      </c>
      <c r="L131" s="5">
        <f>'SAP Results'!L131</f>
        <v>3.0187499999999998</v>
      </c>
    </row>
    <row r="132" spans="1:12" ht="15.75" hidden="1" customHeight="1">
      <c r="A132" s="6" t="str">
        <f>'SAP Results'!A132</f>
        <v>5</v>
      </c>
      <c r="B132" s="5">
        <f>'SAP Results'!B132</f>
        <v>4.0250000000000004</v>
      </c>
      <c r="C132" s="6" t="str">
        <f>'SAP Results'!C132</f>
        <v>Q-2</v>
      </c>
      <c r="D132" s="6" t="str">
        <f>'SAP Results'!D132</f>
        <v>LinStatic</v>
      </c>
      <c r="E132" s="5">
        <f>'SAP Results'!E132</f>
        <v>0</v>
      </c>
      <c r="F132" s="5">
        <f>'SAP Results'!F132</f>
        <v>-3.923</v>
      </c>
      <c r="G132" s="5">
        <f>'SAP Results'!G132</f>
        <v>0</v>
      </c>
      <c r="H132" s="5">
        <f>'SAP Results'!H132</f>
        <v>0</v>
      </c>
      <c r="I132" s="5">
        <f>'SAP Results'!I132</f>
        <v>0</v>
      </c>
      <c r="J132" s="5">
        <f>'SAP Results'!J132</f>
        <v>84.224699999999999</v>
      </c>
      <c r="K132" s="6" t="str">
        <f>'SAP Results'!K132</f>
        <v>5-1</v>
      </c>
      <c r="L132" s="5">
        <f>'SAP Results'!L132</f>
        <v>4.0250000000000004</v>
      </c>
    </row>
    <row r="133" spans="1:12" ht="15.75" hidden="1" customHeight="1">
      <c r="A133" s="6" t="str">
        <f>'SAP Results'!A133</f>
        <v>5</v>
      </c>
      <c r="B133" s="5">
        <f>'SAP Results'!B133</f>
        <v>5.03125</v>
      </c>
      <c r="C133" s="6" t="str">
        <f>'SAP Results'!C133</f>
        <v>Q-2</v>
      </c>
      <c r="D133" s="6" t="str">
        <f>'SAP Results'!D133</f>
        <v>LinStatic</v>
      </c>
      <c r="E133" s="5">
        <f>'SAP Results'!E133</f>
        <v>0</v>
      </c>
      <c r="F133" s="5">
        <f>'SAP Results'!F133</f>
        <v>16.327999999999999</v>
      </c>
      <c r="G133" s="5">
        <f>'SAP Results'!G133</f>
        <v>0</v>
      </c>
      <c r="H133" s="5">
        <f>'SAP Results'!H133</f>
        <v>0</v>
      </c>
      <c r="I133" s="5">
        <f>'SAP Results'!I133</f>
        <v>0</v>
      </c>
      <c r="J133" s="5">
        <f>'SAP Results'!J133</f>
        <v>77.983400000000003</v>
      </c>
      <c r="K133" s="6" t="str">
        <f>'SAP Results'!K133</f>
        <v>5-1</v>
      </c>
      <c r="L133" s="5">
        <f>'SAP Results'!L133</f>
        <v>5.03125</v>
      </c>
    </row>
    <row r="134" spans="1:12" ht="15.75" hidden="1" customHeight="1">
      <c r="A134" s="6" t="str">
        <f>'SAP Results'!A134</f>
        <v>5</v>
      </c>
      <c r="B134" s="5">
        <f>'SAP Results'!B134</f>
        <v>6.0374999999999996</v>
      </c>
      <c r="C134" s="6" t="str">
        <f>'SAP Results'!C134</f>
        <v>Q-2</v>
      </c>
      <c r="D134" s="6" t="str">
        <f>'SAP Results'!D134</f>
        <v>LinStatic</v>
      </c>
      <c r="E134" s="5">
        <f>'SAP Results'!E134</f>
        <v>0</v>
      </c>
      <c r="F134" s="5">
        <f>'SAP Results'!F134</f>
        <v>36.579000000000001</v>
      </c>
      <c r="G134" s="5">
        <f>'SAP Results'!G134</f>
        <v>0</v>
      </c>
      <c r="H134" s="5">
        <f>'SAP Results'!H134</f>
        <v>0</v>
      </c>
      <c r="I134" s="5">
        <f>'SAP Results'!I134</f>
        <v>0</v>
      </c>
      <c r="J134" s="5">
        <f>'SAP Results'!J134</f>
        <v>51.364699999999999</v>
      </c>
      <c r="K134" s="6" t="str">
        <f>'SAP Results'!K134</f>
        <v>5-1</v>
      </c>
      <c r="L134" s="5">
        <f>'SAP Results'!L134</f>
        <v>6.0374999999999996</v>
      </c>
    </row>
    <row r="135" spans="1:12" ht="15.75" hidden="1" customHeight="1">
      <c r="A135" s="6" t="str">
        <f>'SAP Results'!A135</f>
        <v>5</v>
      </c>
      <c r="B135" s="5">
        <f>'SAP Results'!B135</f>
        <v>7.0437500000000002</v>
      </c>
      <c r="C135" s="6" t="str">
        <f>'SAP Results'!C135</f>
        <v>Q-2</v>
      </c>
      <c r="D135" s="6" t="str">
        <f>'SAP Results'!D135</f>
        <v>LinStatic</v>
      </c>
      <c r="E135" s="5">
        <f>'SAP Results'!E135</f>
        <v>0</v>
      </c>
      <c r="F135" s="5">
        <f>'SAP Results'!F135</f>
        <v>56.829000000000001</v>
      </c>
      <c r="G135" s="5">
        <f>'SAP Results'!G135</f>
        <v>0</v>
      </c>
      <c r="H135" s="5">
        <f>'SAP Results'!H135</f>
        <v>0</v>
      </c>
      <c r="I135" s="5">
        <f>'SAP Results'!I135</f>
        <v>0</v>
      </c>
      <c r="J135" s="5">
        <f>'SAP Results'!J135</f>
        <v>4.3686999999999996</v>
      </c>
      <c r="K135" s="6" t="str">
        <f>'SAP Results'!K135</f>
        <v>5-1</v>
      </c>
      <c r="L135" s="5">
        <f>'SAP Results'!L135</f>
        <v>7.0437500000000002</v>
      </c>
    </row>
    <row r="136" spans="1:12" ht="15.75" hidden="1" customHeight="1">
      <c r="A136" s="6" t="str">
        <f>'SAP Results'!A136</f>
        <v>5</v>
      </c>
      <c r="B136" s="5">
        <f>'SAP Results'!B136</f>
        <v>8.0500000000000007</v>
      </c>
      <c r="C136" s="6" t="str">
        <f>'SAP Results'!C136</f>
        <v>Q-2</v>
      </c>
      <c r="D136" s="6" t="str">
        <f>'SAP Results'!D136</f>
        <v>LinStatic</v>
      </c>
      <c r="E136" s="5">
        <f>'SAP Results'!E136</f>
        <v>0</v>
      </c>
      <c r="F136" s="5">
        <f>'SAP Results'!F136</f>
        <v>77.08</v>
      </c>
      <c r="G136" s="5">
        <f>'SAP Results'!G136</f>
        <v>0</v>
      </c>
      <c r="H136" s="5">
        <f>'SAP Results'!H136</f>
        <v>0</v>
      </c>
      <c r="I136" s="5">
        <f>'SAP Results'!I136</f>
        <v>0</v>
      </c>
      <c r="J136" s="5">
        <f>'SAP Results'!J136</f>
        <v>-63.004600000000003</v>
      </c>
      <c r="K136" s="6" t="str">
        <f>'SAP Results'!K136</f>
        <v>5-1</v>
      </c>
      <c r="L136" s="5">
        <f>'SAP Results'!L136</f>
        <v>8.0500000000000007</v>
      </c>
    </row>
    <row r="137" spans="1:12" ht="15.75" customHeight="1"/>
    <row r="138" spans="1:12" ht="15.75" customHeight="1"/>
    <row r="139" spans="1:12" ht="15.75" customHeight="1"/>
    <row r="140" spans="1:12" ht="15.75" customHeight="1"/>
    <row r="141" spans="1:12" ht="15.75" customHeight="1"/>
    <row r="142" spans="1:12" ht="15.75" customHeight="1"/>
    <row r="143" spans="1:12" ht="15.75" customHeight="1"/>
    <row r="144" spans="1:12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L136" xr:uid="{00000000-0009-0000-0000-000005000000}">
    <filterColumn colId="2">
      <filters>
        <filter val="EX"/>
      </filters>
    </filterColumn>
  </autoFilter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8D08D"/>
  </sheetPr>
  <dimension ref="A1:H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8">
      <c r="A1" s="6" t="s">
        <v>0</v>
      </c>
      <c r="B1" s="6" t="s">
        <v>1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spans="1:8">
      <c r="A2" s="12" t="s">
        <v>12</v>
      </c>
      <c r="B2" s="13">
        <v>0</v>
      </c>
      <c r="C2" s="13">
        <f>1.35*('G-1'!E5+'G-2'!E8)+1.5*('Q-1'!E11+'Q-2'!E14)</f>
        <v>-300.35865000000001</v>
      </c>
      <c r="D2" s="13">
        <f>1.35*('G-1'!F5+'G-2'!F8)+1.5*('Q-1'!F11+'Q-2'!F14)</f>
        <v>-68.554500000000004</v>
      </c>
      <c r="E2" s="13">
        <f>1.35*('G-1'!G5+'G-2'!G8)+1.5*('Q-1'!G11+'Q-2'!G14)</f>
        <v>0</v>
      </c>
      <c r="F2" s="13">
        <f>1.35*('G-1'!H5+'G-2'!H8)+1.5*('Q-1'!H11+'Q-2'!H14)</f>
        <v>0</v>
      </c>
      <c r="G2" s="13">
        <f>1.35*('G-1'!I5+'G-2'!I8)+1.5*('Q-1'!I11+'Q-2'!I14)</f>
        <v>0</v>
      </c>
      <c r="H2" s="13">
        <f>1.35*('G-1'!J5+'G-2'!J8)+1.5*('Q-1'!J11+'Q-2'!J14)</f>
        <v>-114.77754</v>
      </c>
    </row>
    <row r="3" spans="1:8">
      <c r="A3" s="12" t="s">
        <v>12</v>
      </c>
      <c r="B3" s="13">
        <v>3.25</v>
      </c>
      <c r="C3" s="13">
        <f>1.35*('G-1'!E6+'G-2'!E9)+1.5*('Q-1'!E12+'Q-2'!E15)</f>
        <v>-300.35865000000001</v>
      </c>
      <c r="D3" s="13">
        <f>1.35*('G-1'!F6+'G-2'!F9)+1.5*('Q-1'!F12+'Q-2'!F15)</f>
        <v>-68.554500000000004</v>
      </c>
      <c r="E3" s="13">
        <f>1.35*('G-1'!G6+'G-2'!G9)+1.5*('Q-1'!G12+'Q-2'!G15)</f>
        <v>0</v>
      </c>
      <c r="F3" s="13">
        <f>1.35*('G-1'!H6+'G-2'!H9)+1.5*('Q-1'!H12+'Q-2'!H15)</f>
        <v>0</v>
      </c>
      <c r="G3" s="13">
        <f>1.35*('G-1'!I6+'G-2'!I9)+1.5*('Q-1'!I12+'Q-2'!I15)</f>
        <v>0</v>
      </c>
      <c r="H3" s="13">
        <f>1.35*('G-1'!J6+'G-2'!J9)+1.5*('Q-1'!J12+'Q-2'!J15)</f>
        <v>63.463830000000002</v>
      </c>
    </row>
    <row r="4" spans="1:8">
      <c r="A4" s="12" t="s">
        <v>12</v>
      </c>
      <c r="B4" s="13">
        <v>6.5</v>
      </c>
      <c r="C4" s="13">
        <f>1.35*('G-1'!E7+'G-2'!E10)+1.5*('Q-1'!E13+'Q-2'!E16)</f>
        <v>-300.35865000000001</v>
      </c>
      <c r="D4" s="13">
        <f>1.35*('G-1'!F7+'G-2'!F10)+1.5*('Q-1'!F13+'Q-2'!F16)</f>
        <v>-68.554500000000004</v>
      </c>
      <c r="E4" s="13">
        <f>1.35*('G-1'!G7+'G-2'!G10)+1.5*('Q-1'!G13+'Q-2'!G16)</f>
        <v>0</v>
      </c>
      <c r="F4" s="13">
        <f>1.35*('G-1'!H7+'G-2'!H10)+1.5*('Q-1'!H13+'Q-2'!H16)</f>
        <v>0</v>
      </c>
      <c r="G4" s="13">
        <f>1.35*('G-1'!I7+'G-2'!I10)+1.5*('Q-1'!I13+'Q-2'!I16)</f>
        <v>0</v>
      </c>
      <c r="H4" s="13">
        <f>1.35*('G-1'!J7+'G-2'!J10)+1.5*('Q-1'!J13+'Q-2'!J16)</f>
        <v>241.70506500000005</v>
      </c>
    </row>
    <row r="5" spans="1:8">
      <c r="A5" s="14" t="s">
        <v>20</v>
      </c>
      <c r="B5" s="15">
        <v>0</v>
      </c>
      <c r="C5" s="15">
        <f>1.35*('G-1'!E20+'G-2'!E23)+1.5*('Q-1'!E26+'Q-2'!E29)</f>
        <v>-752.31119999999999</v>
      </c>
      <c r="D5" s="15">
        <f>1.35*('G-1'!F20+'G-2'!F23)+1.5*('Q-1'!F26+'Q-2'!F29)</f>
        <v>0</v>
      </c>
      <c r="E5" s="15">
        <f>1.35*('G-1'!G20+'G-2'!G23)+1.5*('Q-1'!G26+'Q-2'!G29)</f>
        <v>0</v>
      </c>
      <c r="F5" s="15">
        <f>1.35*('G-1'!H20+'G-2'!H23)+1.5*('Q-1'!H26+'Q-2'!H29)</f>
        <v>0</v>
      </c>
      <c r="G5" s="15">
        <f>1.35*('G-1'!I20+'G-2'!I23)+1.5*('Q-1'!I26+'Q-2'!I29)</f>
        <v>0</v>
      </c>
      <c r="H5" s="15">
        <f>1.35*('G-1'!J20+'G-2'!J23)+1.5*('Q-1'!J26+'Q-2'!J29)</f>
        <v>0</v>
      </c>
    </row>
    <row r="6" spans="1:8">
      <c r="A6" s="14" t="s">
        <v>20</v>
      </c>
      <c r="B6" s="15">
        <v>3.25</v>
      </c>
      <c r="C6" s="15">
        <f>1.35*('G-1'!E21+'G-2'!E24)+1.5*('Q-1'!E27+'Q-2'!E30)</f>
        <v>-752.31119999999999</v>
      </c>
      <c r="D6" s="15">
        <f>1.35*('G-1'!F21+'G-2'!F24)+1.5*('Q-1'!F27+'Q-2'!F30)</f>
        <v>0</v>
      </c>
      <c r="E6" s="15">
        <f>1.35*('G-1'!G21+'G-2'!G24)+1.5*('Q-1'!G27+'Q-2'!G30)</f>
        <v>0</v>
      </c>
      <c r="F6" s="15">
        <f>1.35*('G-1'!H21+'G-2'!H24)+1.5*('Q-1'!H27+'Q-2'!H30)</f>
        <v>0</v>
      </c>
      <c r="G6" s="15">
        <f>1.35*('G-1'!I21+'G-2'!I24)+1.5*('Q-1'!I27+'Q-2'!I30)</f>
        <v>0</v>
      </c>
      <c r="H6" s="15">
        <f>1.35*('G-1'!J21+'G-2'!J24)+1.5*('Q-1'!J27+'Q-2'!J30)</f>
        <v>0</v>
      </c>
    </row>
    <row r="7" spans="1:8">
      <c r="A7" s="14" t="s">
        <v>20</v>
      </c>
      <c r="B7" s="15">
        <v>6.5</v>
      </c>
      <c r="C7" s="15">
        <f>1.35*('G-1'!E22+'G-2'!E25)+1.5*('Q-1'!E28+'Q-2'!E31)</f>
        <v>-752.31119999999999</v>
      </c>
      <c r="D7" s="15">
        <f>1.35*('G-1'!F22+'G-2'!F25)+1.5*('Q-1'!F28+'Q-2'!F31)</f>
        <v>0</v>
      </c>
      <c r="E7" s="15">
        <f>1.35*('G-1'!G22+'G-2'!G25)+1.5*('Q-1'!G28+'Q-2'!G31)</f>
        <v>0</v>
      </c>
      <c r="F7" s="15">
        <f>1.35*('G-1'!H22+'G-2'!H25)+1.5*('Q-1'!H28+'Q-2'!H31)</f>
        <v>0</v>
      </c>
      <c r="G7" s="15">
        <f>1.35*('G-1'!I22+'G-2'!I25)+1.5*('Q-1'!I28+'Q-2'!I31)</f>
        <v>0</v>
      </c>
      <c r="H7" s="15">
        <f>1.35*('G-1'!J22+'G-2'!J25)+1.5*('Q-1'!J28+'Q-2'!J31)</f>
        <v>0</v>
      </c>
    </row>
    <row r="8" spans="1:8">
      <c r="A8" s="16" t="s">
        <v>22</v>
      </c>
      <c r="B8" s="17">
        <v>0</v>
      </c>
      <c r="C8" s="17">
        <f>1.35*('G-1'!E35+'G-2'!E38)+1.5*('Q-1'!E41+'Q-2'!E44)</f>
        <v>-300.35865000000001</v>
      </c>
      <c r="D8" s="17">
        <f>1.35*('G-1'!F35+'G-2'!F38)+1.5*('Q-1'!F41+'Q-2'!F44)</f>
        <v>68.554500000000004</v>
      </c>
      <c r="E8" s="17">
        <f>1.35*('G-1'!G35+'G-2'!G38)+1.5*('Q-1'!G41+'Q-2'!G44)</f>
        <v>0</v>
      </c>
      <c r="F8" s="17">
        <f>1.35*('G-1'!H35+'G-2'!H38)+1.5*('Q-1'!H41+'Q-2'!H44)</f>
        <v>0</v>
      </c>
      <c r="G8" s="17">
        <f>1.35*('G-1'!I35+'G-2'!I38)+1.5*('Q-1'!I41+'Q-2'!I44)</f>
        <v>0</v>
      </c>
      <c r="H8" s="17">
        <f>1.35*('G-1'!J35+'G-2'!J38)+1.5*('Q-1'!J41+'Q-2'!J44)</f>
        <v>114.77754</v>
      </c>
    </row>
    <row r="9" spans="1:8">
      <c r="A9" s="16" t="s">
        <v>22</v>
      </c>
      <c r="B9" s="17">
        <v>3.25</v>
      </c>
      <c r="C9" s="17">
        <f>1.35*('G-1'!E36+'G-2'!E39)+1.5*('Q-1'!E42+'Q-2'!E45)</f>
        <v>-300.35865000000001</v>
      </c>
      <c r="D9" s="17">
        <f>1.35*('G-1'!F36+'G-2'!F39)+1.5*('Q-1'!F42+'Q-2'!F45)</f>
        <v>68.554500000000004</v>
      </c>
      <c r="E9" s="17">
        <f>1.35*('G-1'!G36+'G-2'!G39)+1.5*('Q-1'!G42+'Q-2'!G45)</f>
        <v>0</v>
      </c>
      <c r="F9" s="17">
        <f>1.35*('G-1'!H36+'G-2'!H39)+1.5*('Q-1'!H42+'Q-2'!H45)</f>
        <v>0</v>
      </c>
      <c r="G9" s="17">
        <f>1.35*('G-1'!I36+'G-2'!I39)+1.5*('Q-1'!I42+'Q-2'!I45)</f>
        <v>0</v>
      </c>
      <c r="H9" s="17">
        <f>1.35*('G-1'!J36+'G-2'!J39)+1.5*('Q-1'!J42+'Q-2'!J45)</f>
        <v>-63.463830000000002</v>
      </c>
    </row>
    <row r="10" spans="1:8">
      <c r="A10" s="16" t="s">
        <v>22</v>
      </c>
      <c r="B10" s="17">
        <v>6.5</v>
      </c>
      <c r="C10" s="17">
        <f>1.35*('G-1'!E37+'G-2'!E40)+1.5*('Q-1'!E43+'Q-2'!E46)</f>
        <v>-300.35865000000001</v>
      </c>
      <c r="D10" s="17">
        <f>1.35*('G-1'!F37+'G-2'!F40)+1.5*('Q-1'!F43+'Q-2'!F46)</f>
        <v>68.554500000000004</v>
      </c>
      <c r="E10" s="17">
        <f>1.35*('G-1'!G37+'G-2'!G40)+1.5*('Q-1'!G43+'Q-2'!G46)</f>
        <v>0</v>
      </c>
      <c r="F10" s="17">
        <f>1.35*('G-1'!H37+'G-2'!H40)+1.5*('Q-1'!H43+'Q-2'!H46)</f>
        <v>0</v>
      </c>
      <c r="G10" s="17">
        <f>1.35*('G-1'!I37+'G-2'!I40)+1.5*('Q-1'!I43+'Q-2'!I46)</f>
        <v>0</v>
      </c>
      <c r="H10" s="17">
        <f>1.35*('G-1'!J37+'G-2'!J40)+1.5*('Q-1'!J43+'Q-2'!J46)</f>
        <v>-241.70506500000005</v>
      </c>
    </row>
    <row r="11" spans="1:8">
      <c r="A11" s="18" t="s">
        <v>24</v>
      </c>
      <c r="B11" s="19">
        <v>0</v>
      </c>
      <c r="C11" s="19">
        <f>1.35*('G-1'!E56+'G-2'!E65)+1.5*('Q-1'!E74+'Q-2'!E83)</f>
        <v>0</v>
      </c>
      <c r="D11" s="19">
        <f>1.35*('G-1'!F56+'G-2'!F65)+1.5*('Q-1'!F74+'Q-2'!F83)</f>
        <v>-300.35865000000001</v>
      </c>
      <c r="E11" s="19">
        <f>1.35*('G-1'!G56+'G-2'!G65)+1.5*('Q-1'!G74+'Q-2'!G83)</f>
        <v>0</v>
      </c>
      <c r="F11" s="19">
        <f>1.35*('G-1'!H56+'G-2'!H65)+1.5*('Q-1'!H74+'Q-2'!H83)</f>
        <v>0</v>
      </c>
      <c r="G11" s="19">
        <f>1.35*('G-1'!I56+'G-2'!I65)+1.5*('Q-1'!I74+'Q-2'!I83)</f>
        <v>0</v>
      </c>
      <c r="H11" s="19">
        <f>1.35*('G-1'!J56+'G-2'!J65)+1.5*('Q-1'!J74+'Q-2'!J83)</f>
        <v>-241.70506500000005</v>
      </c>
    </row>
    <row r="12" spans="1:8">
      <c r="A12" s="18" t="s">
        <v>24</v>
      </c>
      <c r="B12" s="19">
        <v>1.25</v>
      </c>
      <c r="C12" s="19">
        <f>1.35*('G-1'!E57+'G-2'!E66)+1.5*('Q-1'!E75+'Q-2'!E84)</f>
        <v>0</v>
      </c>
      <c r="D12" s="19">
        <f>1.35*('G-1'!F57+'G-2'!F66)+1.5*('Q-1'!F75+'Q-2'!F84)</f>
        <v>-215.79315000000003</v>
      </c>
      <c r="E12" s="19">
        <f>1.35*('G-1'!G57+'G-2'!G66)+1.5*('Q-1'!G75+'Q-2'!G84)</f>
        <v>0</v>
      </c>
      <c r="F12" s="19">
        <f>1.35*('G-1'!H57+'G-2'!H66)+1.5*('Q-1'!H75+'Q-2'!H84)</f>
        <v>0</v>
      </c>
      <c r="G12" s="19">
        <f>1.35*('G-1'!I57+'G-2'!I66)+1.5*('Q-1'!I75+'Q-2'!I84)</f>
        <v>0</v>
      </c>
      <c r="H12" s="19">
        <f>1.35*('G-1'!J57+'G-2'!J66)+1.5*('Q-1'!J75+'Q-2'!J84)</f>
        <v>17.984610000000004</v>
      </c>
    </row>
    <row r="13" spans="1:8">
      <c r="A13" s="18" t="s">
        <v>24</v>
      </c>
      <c r="B13" s="19">
        <v>2.5</v>
      </c>
      <c r="C13" s="19">
        <f>1.35*('G-1'!E58+'G-2'!E67)+1.5*('Q-1'!E76+'Q-2'!E85)</f>
        <v>0</v>
      </c>
      <c r="D13" s="19">
        <f>1.35*('G-1'!F58+'G-2'!F67)+1.5*('Q-1'!F76+'Q-2'!F85)</f>
        <v>-131.23050000000001</v>
      </c>
      <c r="E13" s="19">
        <f>1.35*('G-1'!G58+'G-2'!G67)+1.5*('Q-1'!G76+'Q-2'!G85)</f>
        <v>0</v>
      </c>
      <c r="F13" s="19">
        <f>1.35*('G-1'!H58+'G-2'!H67)+1.5*('Q-1'!H76+'Q-2'!H85)</f>
        <v>0</v>
      </c>
      <c r="G13" s="19">
        <f>1.35*('G-1'!I58+'G-2'!I67)+1.5*('Q-1'!I76+'Q-2'!I85)</f>
        <v>0</v>
      </c>
      <c r="H13" s="19">
        <f>1.35*('G-1'!J58+'G-2'!J67)+1.5*('Q-1'!J76+'Q-2'!J85)</f>
        <v>192.58143000000001</v>
      </c>
    </row>
    <row r="14" spans="1:8">
      <c r="A14" s="18" t="s">
        <v>24</v>
      </c>
      <c r="B14" s="19">
        <v>3.75</v>
      </c>
      <c r="C14" s="19">
        <f>1.35*('G-1'!E59+'G-2'!E68)+1.5*('Q-1'!E77+'Q-2'!E86)</f>
        <v>0</v>
      </c>
      <c r="D14" s="19">
        <f>1.35*('G-1'!F59+'G-2'!F68)+1.5*('Q-1'!F77+'Q-2'!F86)</f>
        <v>-46.666350000000001</v>
      </c>
      <c r="E14" s="19">
        <f>1.35*('G-1'!G59+'G-2'!G68)+1.5*('Q-1'!G77+'Q-2'!G86)</f>
        <v>0</v>
      </c>
      <c r="F14" s="19">
        <f>1.35*('G-1'!H59+'G-2'!H68)+1.5*('Q-1'!H77+'Q-2'!H86)</f>
        <v>0</v>
      </c>
      <c r="G14" s="19">
        <f>1.35*('G-1'!I59+'G-2'!I68)+1.5*('Q-1'!I77+'Q-2'!I86)</f>
        <v>0</v>
      </c>
      <c r="H14" s="19">
        <f>1.35*('G-1'!J59+'G-2'!J68)+1.5*('Q-1'!J77+'Q-2'!J86)</f>
        <v>282.08580000000001</v>
      </c>
    </row>
    <row r="15" spans="1:8">
      <c r="A15" s="18" t="s">
        <v>24</v>
      </c>
      <c r="B15" s="19">
        <v>5</v>
      </c>
      <c r="C15" s="19">
        <f>1.35*('G-1'!E60+'G-2'!E69)+1.5*('Q-1'!E78+'Q-2'!E87)</f>
        <v>0</v>
      </c>
      <c r="D15" s="19">
        <f>1.35*('G-1'!F60+'G-2'!F69)+1.5*('Q-1'!F78+'Q-2'!F87)</f>
        <v>37.899149999999999</v>
      </c>
      <c r="E15" s="19">
        <f>1.35*('G-1'!G60+'G-2'!G69)+1.5*('Q-1'!G78+'Q-2'!G87)</f>
        <v>0</v>
      </c>
      <c r="F15" s="19">
        <f>1.35*('G-1'!H60+'G-2'!H69)+1.5*('Q-1'!H78+'Q-2'!H87)</f>
        <v>0</v>
      </c>
      <c r="G15" s="19">
        <f>1.35*('G-1'!I60+'G-2'!I69)+1.5*('Q-1'!I78+'Q-2'!I87)</f>
        <v>0</v>
      </c>
      <c r="H15" s="19">
        <f>1.35*('G-1'!J60+'G-2'!J69)+1.5*('Q-1'!J78+'Q-2'!J87)</f>
        <v>286.497165</v>
      </c>
    </row>
    <row r="16" spans="1:8">
      <c r="A16" s="18" t="s">
        <v>24</v>
      </c>
      <c r="B16" s="19">
        <v>6.25</v>
      </c>
      <c r="C16" s="19">
        <f>1.35*('G-1'!E61+'G-2'!E70)+1.5*('Q-1'!E79+'Q-2'!E88)</f>
        <v>0</v>
      </c>
      <c r="D16" s="19">
        <f>1.35*('G-1'!F61+'G-2'!F70)+1.5*('Q-1'!F79+'Q-2'!F88)</f>
        <v>122.4633</v>
      </c>
      <c r="E16" s="19">
        <f>1.35*('G-1'!G61+'G-2'!G70)+1.5*('Q-1'!G79+'Q-2'!G88)</f>
        <v>0</v>
      </c>
      <c r="F16" s="19">
        <f>1.35*('G-1'!H61+'G-2'!H70)+1.5*('Q-1'!H79+'Q-2'!H88)</f>
        <v>0</v>
      </c>
      <c r="G16" s="19">
        <f>1.35*('G-1'!I61+'G-2'!I70)+1.5*('Q-1'!I79+'Q-2'!I88)</f>
        <v>0</v>
      </c>
      <c r="H16" s="19">
        <f>1.35*('G-1'!J61+'G-2'!J70)+1.5*('Q-1'!J79+'Q-2'!J88)</f>
        <v>205.81565999999998</v>
      </c>
    </row>
    <row r="17" spans="1:8">
      <c r="A17" s="18" t="s">
        <v>24</v>
      </c>
      <c r="B17" s="19">
        <v>7.5</v>
      </c>
      <c r="C17" s="19">
        <f>1.35*('G-1'!E62+'G-2'!E71)+1.5*('Q-1'!E80+'Q-2'!E89)</f>
        <v>0</v>
      </c>
      <c r="D17" s="19">
        <f>1.35*('G-1'!F62+'G-2'!F71)+1.5*('Q-1'!F80+'Q-2'!F89)</f>
        <v>207.02594999999999</v>
      </c>
      <c r="E17" s="19">
        <f>1.35*('G-1'!G62+'G-2'!G71)+1.5*('Q-1'!G80+'Q-2'!G89)</f>
        <v>0</v>
      </c>
      <c r="F17" s="19">
        <f>1.35*('G-1'!H62+'G-2'!H71)+1.5*('Q-1'!H80+'Q-2'!H89)</f>
        <v>0</v>
      </c>
      <c r="G17" s="19">
        <f>1.35*('G-1'!I62+'G-2'!I71)+1.5*('Q-1'!I80+'Q-2'!I89)</f>
        <v>0</v>
      </c>
      <c r="H17" s="19">
        <f>1.35*('G-1'!J62+'G-2'!J71)+1.5*('Q-1'!J80+'Q-2'!J89)</f>
        <v>40.041719999999998</v>
      </c>
    </row>
    <row r="18" spans="1:8">
      <c r="A18" s="18" t="s">
        <v>24</v>
      </c>
      <c r="B18" s="19">
        <v>8.75</v>
      </c>
      <c r="C18" s="19">
        <f>1.35*('G-1'!E63+'G-2'!E72)+1.5*('Q-1'!E81+'Q-2'!E90)</f>
        <v>0</v>
      </c>
      <c r="D18" s="19">
        <f>1.35*('G-1'!F63+'G-2'!F72)+1.5*('Q-1'!F81+'Q-2'!F90)</f>
        <v>291.59010000000001</v>
      </c>
      <c r="E18" s="19">
        <f>1.35*('G-1'!G63+'G-2'!G72)+1.5*('Q-1'!G81+'Q-2'!G90)</f>
        <v>0</v>
      </c>
      <c r="F18" s="19">
        <f>1.35*('G-1'!H63+'G-2'!H72)+1.5*('Q-1'!H81+'Q-2'!H90)</f>
        <v>0</v>
      </c>
      <c r="G18" s="19">
        <f>1.35*('G-1'!I63+'G-2'!I72)+1.5*('Q-1'!I81+'Q-2'!I90)</f>
        <v>0</v>
      </c>
      <c r="H18" s="19">
        <f>1.35*('G-1'!J63+'G-2'!J72)+1.5*('Q-1'!J81+'Q-2'!J90)</f>
        <v>-210.82537500000001</v>
      </c>
    </row>
    <row r="19" spans="1:8">
      <c r="A19" s="18" t="s">
        <v>24</v>
      </c>
      <c r="B19" s="19">
        <v>10</v>
      </c>
      <c r="C19" s="19">
        <f>1.35*('G-1'!E64+'G-2'!E73)+1.5*('Q-1'!E82+'Q-2'!E91)</f>
        <v>0</v>
      </c>
      <c r="D19" s="19">
        <f>1.35*('G-1'!F64+'G-2'!F73)+1.5*('Q-1'!F82+'Q-2'!F91)</f>
        <v>376.15560000000005</v>
      </c>
      <c r="E19" s="19">
        <f>1.35*('G-1'!G64+'G-2'!G73)+1.5*('Q-1'!G82+'Q-2'!G91)</f>
        <v>0</v>
      </c>
      <c r="F19" s="19">
        <f>1.35*('G-1'!H64+'G-2'!H73)+1.5*('Q-1'!H82+'Q-2'!H91)</f>
        <v>0</v>
      </c>
      <c r="G19" s="19">
        <f>1.35*('G-1'!I64+'G-2'!I73)+1.5*('Q-1'!I82+'Q-2'!I91)</f>
        <v>0</v>
      </c>
      <c r="H19" s="19">
        <f>1.35*('G-1'!J64+'G-2'!J73)+1.5*('Q-1'!J82+'Q-2'!J91)</f>
        <v>-546.78492000000006</v>
      </c>
    </row>
    <row r="20" spans="1:8">
      <c r="A20" s="20" t="s">
        <v>26</v>
      </c>
      <c r="B20" s="21">
        <v>0</v>
      </c>
      <c r="C20" s="21">
        <f>1.35*('G-1'!E101+'G-2'!E110)+1.5*('Q-1'!E119+'Q-2'!E128)</f>
        <v>0</v>
      </c>
      <c r="D20" s="21">
        <f>1.35*('G-1'!F101+'G-2'!F110)+1.5*('Q-1'!F119+'Q-2'!F128)</f>
        <v>-376.15560000000005</v>
      </c>
      <c r="E20" s="21">
        <f>1.35*('G-1'!G101+'G-2'!G110)+1.5*('Q-1'!G119+'Q-2'!G128)</f>
        <v>0</v>
      </c>
      <c r="F20" s="21">
        <f>1.35*('G-1'!H101+'G-2'!H110)+1.5*('Q-1'!H119+'Q-2'!H128)</f>
        <v>0</v>
      </c>
      <c r="G20" s="21">
        <f>1.35*('G-1'!I101+'G-2'!I110)+1.5*('Q-1'!I119+'Q-2'!I128)</f>
        <v>0</v>
      </c>
      <c r="H20" s="21">
        <f>1.35*('G-1'!J101+'G-2'!J110)+1.5*('Q-1'!J119+'Q-2'!J128)</f>
        <v>-546.78492000000006</v>
      </c>
    </row>
    <row r="21" spans="1:8" ht="15.75" customHeight="1">
      <c r="A21" s="20" t="s">
        <v>26</v>
      </c>
      <c r="B21" s="21">
        <v>1.25</v>
      </c>
      <c r="C21" s="21">
        <f>1.35*('G-1'!E102+'G-2'!E111)+1.5*('Q-1'!E120+'Q-2'!E129)</f>
        <v>0</v>
      </c>
      <c r="D21" s="21">
        <f>1.35*('G-1'!F102+'G-2'!F111)+1.5*('Q-1'!F120+'Q-2'!F129)</f>
        <v>-291.59010000000001</v>
      </c>
      <c r="E21" s="21">
        <f>1.35*('G-1'!G102+'G-2'!G111)+1.5*('Q-1'!G120+'Q-2'!G129)</f>
        <v>0</v>
      </c>
      <c r="F21" s="21">
        <f>1.35*('G-1'!H102+'G-2'!H111)+1.5*('Q-1'!H120+'Q-2'!H129)</f>
        <v>0</v>
      </c>
      <c r="G21" s="21">
        <f>1.35*('G-1'!I102+'G-2'!I111)+1.5*('Q-1'!I120+'Q-2'!I129)</f>
        <v>0</v>
      </c>
      <c r="H21" s="21">
        <f>1.35*('G-1'!J102+'G-2'!J111)+1.5*('Q-1'!J120+'Q-2'!J129)</f>
        <v>-210.82537500000001</v>
      </c>
    </row>
    <row r="22" spans="1:8" ht="15.75" customHeight="1">
      <c r="A22" s="20" t="s">
        <v>26</v>
      </c>
      <c r="B22" s="21">
        <v>2.5</v>
      </c>
      <c r="C22" s="21">
        <f>1.35*('G-1'!E103+'G-2'!E112)+1.5*('Q-1'!E121+'Q-2'!E130)</f>
        <v>0</v>
      </c>
      <c r="D22" s="21">
        <f>1.35*('G-1'!F103+'G-2'!F112)+1.5*('Q-1'!F121+'Q-2'!F130)</f>
        <v>-207.02594999999999</v>
      </c>
      <c r="E22" s="21">
        <f>1.35*('G-1'!G103+'G-2'!G112)+1.5*('Q-1'!G121+'Q-2'!G130)</f>
        <v>0</v>
      </c>
      <c r="F22" s="21">
        <f>1.35*('G-1'!H103+'G-2'!H112)+1.5*('Q-1'!H121+'Q-2'!H130)</f>
        <v>0</v>
      </c>
      <c r="G22" s="21">
        <f>1.35*('G-1'!I103+'G-2'!I112)+1.5*('Q-1'!I121+'Q-2'!I130)</f>
        <v>0</v>
      </c>
      <c r="H22" s="21">
        <f>1.35*('G-1'!J103+'G-2'!J112)+1.5*('Q-1'!J121+'Q-2'!J130)</f>
        <v>40.041719999999998</v>
      </c>
    </row>
    <row r="23" spans="1:8" ht="15.75" customHeight="1">
      <c r="A23" s="20" t="s">
        <v>26</v>
      </c>
      <c r="B23" s="21">
        <v>3.75</v>
      </c>
      <c r="C23" s="21">
        <f>1.35*('G-1'!E104+'G-2'!E113)+1.5*('Q-1'!E122+'Q-2'!E131)</f>
        <v>0</v>
      </c>
      <c r="D23" s="21">
        <f>1.35*('G-1'!F104+'G-2'!F113)+1.5*('Q-1'!F122+'Q-2'!F131)</f>
        <v>-122.4633</v>
      </c>
      <c r="E23" s="21">
        <f>1.35*('G-1'!G104+'G-2'!G113)+1.5*('Q-1'!G122+'Q-2'!G131)</f>
        <v>0</v>
      </c>
      <c r="F23" s="21">
        <f>1.35*('G-1'!H104+'G-2'!H113)+1.5*('Q-1'!H122+'Q-2'!H131)</f>
        <v>0</v>
      </c>
      <c r="G23" s="21">
        <f>1.35*('G-1'!I104+'G-2'!I113)+1.5*('Q-1'!I122+'Q-2'!I131)</f>
        <v>0</v>
      </c>
      <c r="H23" s="21">
        <f>1.35*('G-1'!J104+'G-2'!J113)+1.5*('Q-1'!J122+'Q-2'!J131)</f>
        <v>205.81565999999998</v>
      </c>
    </row>
    <row r="24" spans="1:8" ht="15.75" customHeight="1">
      <c r="A24" s="20" t="s">
        <v>26</v>
      </c>
      <c r="B24" s="21">
        <v>5</v>
      </c>
      <c r="C24" s="21">
        <f>1.35*('G-1'!E105+'G-2'!E114)+1.5*('Q-1'!E123+'Q-2'!E132)</f>
        <v>0</v>
      </c>
      <c r="D24" s="21">
        <f>1.35*('G-1'!F105+'G-2'!F114)+1.5*('Q-1'!F123+'Q-2'!F132)</f>
        <v>-37.899149999999999</v>
      </c>
      <c r="E24" s="21">
        <f>1.35*('G-1'!G105+'G-2'!G114)+1.5*('Q-1'!G123+'Q-2'!G132)</f>
        <v>0</v>
      </c>
      <c r="F24" s="21">
        <f>1.35*('G-1'!H105+'G-2'!H114)+1.5*('Q-1'!H123+'Q-2'!H132)</f>
        <v>0</v>
      </c>
      <c r="G24" s="21">
        <f>1.35*('G-1'!I105+'G-2'!I114)+1.5*('Q-1'!I123+'Q-2'!I132)</f>
        <v>0</v>
      </c>
      <c r="H24" s="21">
        <f>1.35*('G-1'!J105+'G-2'!J114)+1.5*('Q-1'!J123+'Q-2'!J132)</f>
        <v>286.497165</v>
      </c>
    </row>
    <row r="25" spans="1:8" ht="15.75" customHeight="1">
      <c r="A25" s="20" t="s">
        <v>26</v>
      </c>
      <c r="B25" s="21">
        <v>6.25</v>
      </c>
      <c r="C25" s="21">
        <f>1.35*('G-1'!E106+'G-2'!E115)+1.5*('Q-1'!E124+'Q-2'!E133)</f>
        <v>0</v>
      </c>
      <c r="D25" s="21">
        <f>1.35*('G-1'!F106+'G-2'!F115)+1.5*('Q-1'!F124+'Q-2'!F133)</f>
        <v>46.666350000000001</v>
      </c>
      <c r="E25" s="21">
        <f>1.35*('G-1'!G106+'G-2'!G115)+1.5*('Q-1'!G124+'Q-2'!G133)</f>
        <v>0</v>
      </c>
      <c r="F25" s="21">
        <f>1.35*('G-1'!H106+'G-2'!H115)+1.5*('Q-1'!H124+'Q-2'!H133)</f>
        <v>0</v>
      </c>
      <c r="G25" s="21">
        <f>1.35*('G-1'!I106+'G-2'!I115)+1.5*('Q-1'!I124+'Q-2'!I133)</f>
        <v>0</v>
      </c>
      <c r="H25" s="21">
        <f>1.35*('G-1'!J106+'G-2'!J115)+1.5*('Q-1'!J124+'Q-2'!J133)</f>
        <v>282.08580000000001</v>
      </c>
    </row>
    <row r="26" spans="1:8" ht="15.75" customHeight="1">
      <c r="A26" s="20" t="s">
        <v>26</v>
      </c>
      <c r="B26" s="21">
        <v>7.5</v>
      </c>
      <c r="C26" s="21">
        <f>1.35*('G-1'!E107+'G-2'!E116)+1.5*('Q-1'!E125+'Q-2'!E134)</f>
        <v>0</v>
      </c>
      <c r="D26" s="21">
        <f>1.35*('G-1'!F107+'G-2'!F116)+1.5*('Q-1'!F125+'Q-2'!F134)</f>
        <v>131.23050000000001</v>
      </c>
      <c r="E26" s="21">
        <f>1.35*('G-1'!G107+'G-2'!G116)+1.5*('Q-1'!G125+'Q-2'!G134)</f>
        <v>0</v>
      </c>
      <c r="F26" s="21">
        <f>1.35*('G-1'!H107+'G-2'!H116)+1.5*('Q-1'!H125+'Q-2'!H134)</f>
        <v>0</v>
      </c>
      <c r="G26" s="21">
        <f>1.35*('G-1'!I107+'G-2'!I116)+1.5*('Q-1'!I125+'Q-2'!I134)</f>
        <v>0</v>
      </c>
      <c r="H26" s="21">
        <f>1.35*('G-1'!J107+'G-2'!J116)+1.5*('Q-1'!J125+'Q-2'!J134)</f>
        <v>192.58143000000001</v>
      </c>
    </row>
    <row r="27" spans="1:8" ht="15.75" customHeight="1">
      <c r="A27" s="20" t="s">
        <v>26</v>
      </c>
      <c r="B27" s="21">
        <v>8.75</v>
      </c>
      <c r="C27" s="21">
        <f>1.35*('G-1'!E108+'G-2'!E117)+1.5*('Q-1'!E126+'Q-2'!E135)</f>
        <v>0</v>
      </c>
      <c r="D27" s="21">
        <f>1.35*('G-1'!F108+'G-2'!F117)+1.5*('Q-1'!F126+'Q-2'!F135)</f>
        <v>215.79315000000003</v>
      </c>
      <c r="E27" s="21">
        <f>1.35*('G-1'!G108+'G-2'!G117)+1.5*('Q-1'!G126+'Q-2'!G135)</f>
        <v>0</v>
      </c>
      <c r="F27" s="21">
        <f>1.35*('G-1'!H108+'G-2'!H117)+1.5*('Q-1'!H126+'Q-2'!H135)</f>
        <v>0</v>
      </c>
      <c r="G27" s="21">
        <f>1.35*('G-1'!I108+'G-2'!I117)+1.5*('Q-1'!I126+'Q-2'!I135)</f>
        <v>0</v>
      </c>
      <c r="H27" s="21">
        <f>1.35*('G-1'!J108+'G-2'!J117)+1.5*('Q-1'!J126+'Q-2'!J135)</f>
        <v>17.984610000000004</v>
      </c>
    </row>
    <row r="28" spans="1:8" ht="15.75" customHeight="1">
      <c r="A28" s="20" t="s">
        <v>26</v>
      </c>
      <c r="B28" s="21">
        <v>10</v>
      </c>
      <c r="C28" s="21">
        <f>1.35*('G-1'!E109+'G-2'!E118)+1.5*('Q-1'!E127+'Q-2'!E136)</f>
        <v>0</v>
      </c>
      <c r="D28" s="21">
        <f>1.35*('G-1'!F109+'G-2'!F118)+1.5*('Q-1'!F127+'Q-2'!F136)</f>
        <v>300.35865000000001</v>
      </c>
      <c r="E28" s="21">
        <f>1.35*('G-1'!G109+'G-2'!G118)+1.5*('Q-1'!G127+'Q-2'!G136)</f>
        <v>0</v>
      </c>
      <c r="F28" s="21">
        <f>1.35*('G-1'!H109+'G-2'!H118)+1.5*('Q-1'!H127+'Q-2'!H136)</f>
        <v>0</v>
      </c>
      <c r="G28" s="21">
        <f>1.35*('G-1'!I109+'G-2'!I118)+1.5*('Q-1'!I127+'Q-2'!I136)</f>
        <v>0</v>
      </c>
      <c r="H28" s="21">
        <f>1.35*('G-1'!J109+'G-2'!J118)+1.5*('Q-1'!J127+'Q-2'!J136)</f>
        <v>-241.70506500000005</v>
      </c>
    </row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8D08D"/>
  </sheetPr>
  <dimension ref="A1:H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8">
      <c r="A1" s="6" t="s">
        <v>0</v>
      </c>
      <c r="B1" s="6" t="s">
        <v>1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spans="1:8">
      <c r="A2" s="12" t="s">
        <v>12</v>
      </c>
      <c r="B2" s="13">
        <v>0</v>
      </c>
      <c r="C2" s="13">
        <f>1.35*'G-1'!E5+'G-2'!E8+1.5*'Q-1'!E11</f>
        <v>-311.66270000000003</v>
      </c>
      <c r="D2" s="13">
        <f>1.35*'G-1'!F5+'G-2'!F8+1.5*'Q-1'!F11</f>
        <v>-69.688749999999999</v>
      </c>
      <c r="E2" s="13">
        <f>1.35*'G-1'!G5+'G-2'!G8+1.5*'Q-1'!G11</f>
        <v>0</v>
      </c>
      <c r="F2" s="13">
        <f>1.35*'G-1'!H5+'G-2'!H8+1.5*'Q-1'!H11</f>
        <v>0</v>
      </c>
      <c r="G2" s="13">
        <f>1.35*'G-1'!I5+'G-2'!I8+1.5*'Q-1'!I11</f>
        <v>0</v>
      </c>
      <c r="H2" s="13">
        <f>1.35*'G-1'!J5+'G-2'!J8+1.5*'Q-1'!J11</f>
        <v>-109.437085</v>
      </c>
    </row>
    <row r="3" spans="1:8">
      <c r="A3" s="12" t="s">
        <v>12</v>
      </c>
      <c r="B3" s="13">
        <v>3.25</v>
      </c>
      <c r="C3" s="13">
        <f>1.35*'G-1'!E6+'G-2'!E9+1.5*'Q-1'!E12</f>
        <v>-311.66270000000003</v>
      </c>
      <c r="D3" s="13">
        <f>1.35*'G-1'!F6+'G-2'!F9+1.5*'Q-1'!F12</f>
        <v>-69.688749999999999</v>
      </c>
      <c r="E3" s="13">
        <f>1.35*'G-1'!G6+'G-2'!G9+1.5*'Q-1'!G12</f>
        <v>0</v>
      </c>
      <c r="F3" s="13">
        <f>1.35*'G-1'!H6+'G-2'!H9+1.5*'Q-1'!H12</f>
        <v>0</v>
      </c>
      <c r="G3" s="13">
        <f>1.35*'G-1'!I6+'G-2'!I9+1.5*'Q-1'!I12</f>
        <v>0</v>
      </c>
      <c r="H3" s="13">
        <f>1.35*'G-1'!J6+'G-2'!J9+1.5*'Q-1'!J12</f>
        <v>71.753309999999999</v>
      </c>
    </row>
    <row r="4" spans="1:8">
      <c r="A4" s="12" t="s">
        <v>12</v>
      </c>
      <c r="B4" s="13">
        <v>6.5</v>
      </c>
      <c r="C4" s="13">
        <f>1.35*'G-1'!E7+'G-2'!E10+1.5*'Q-1'!E13</f>
        <v>-311.66270000000003</v>
      </c>
      <c r="D4" s="13">
        <f>1.35*'G-1'!F7+'G-2'!F10+1.5*'Q-1'!F13</f>
        <v>-69.688749999999999</v>
      </c>
      <c r="E4" s="13">
        <f>1.35*'G-1'!G7+'G-2'!G10+1.5*'Q-1'!G13</f>
        <v>0</v>
      </c>
      <c r="F4" s="13">
        <f>1.35*'G-1'!H7+'G-2'!H10+1.5*'Q-1'!H13</f>
        <v>0</v>
      </c>
      <c r="G4" s="13">
        <f>1.35*'G-1'!I7+'G-2'!I10+1.5*'Q-1'!I13</f>
        <v>0</v>
      </c>
      <c r="H4" s="13">
        <f>1.35*'G-1'!J7+'G-2'!J10+1.5*'Q-1'!J13</f>
        <v>252.94356999999999</v>
      </c>
    </row>
    <row r="5" spans="1:8">
      <c r="A5" s="14" t="s">
        <v>20</v>
      </c>
      <c r="B5" s="15">
        <v>0</v>
      </c>
      <c r="C5" s="15">
        <f>1.35*'G-1'!E20+'G-2'!E23+1.5*'Q-1'!E26</f>
        <v>-554.70159999999998</v>
      </c>
      <c r="D5" s="15">
        <f>1.35*'G-1'!F20+'G-2'!F23+1.5*'Q-1'!F26</f>
        <v>38.283000000000001</v>
      </c>
      <c r="E5" s="15">
        <f>1.35*'G-1'!G20+'G-2'!G23+1.5*'Q-1'!G26</f>
        <v>0</v>
      </c>
      <c r="F5" s="15">
        <f>1.35*'G-1'!H20+'G-2'!H23+1.5*'Q-1'!H26</f>
        <v>0</v>
      </c>
      <c r="G5" s="15">
        <f>1.35*'G-1'!I20+'G-2'!I23+1.5*'Q-1'!I26</f>
        <v>0</v>
      </c>
      <c r="H5" s="15">
        <f>1.35*'G-1'!J20+'G-2'!J23+1.5*'Q-1'!J26</f>
        <v>71.334685000000007</v>
      </c>
    </row>
    <row r="6" spans="1:8">
      <c r="A6" s="14" t="s">
        <v>20</v>
      </c>
      <c r="B6" s="15">
        <v>3.25</v>
      </c>
      <c r="C6" s="15">
        <f>1.35*'G-1'!E21+'G-2'!E24+1.5*'Q-1'!E27</f>
        <v>-554.70159999999998</v>
      </c>
      <c r="D6" s="15">
        <f>1.35*'G-1'!F21+'G-2'!F24+1.5*'Q-1'!F27</f>
        <v>38.283000000000001</v>
      </c>
      <c r="E6" s="15">
        <f>1.35*'G-1'!G21+'G-2'!G24+1.5*'Q-1'!G27</f>
        <v>0</v>
      </c>
      <c r="F6" s="15">
        <f>1.35*'G-1'!H21+'G-2'!H24+1.5*'Q-1'!H27</f>
        <v>0</v>
      </c>
      <c r="G6" s="15">
        <f>1.35*'G-1'!I21+'G-2'!I24+1.5*'Q-1'!I27</f>
        <v>0</v>
      </c>
      <c r="H6" s="15">
        <f>1.35*'G-1'!J21+'G-2'!J24+1.5*'Q-1'!J27</f>
        <v>-28.200500000000002</v>
      </c>
    </row>
    <row r="7" spans="1:8">
      <c r="A7" s="14" t="s">
        <v>20</v>
      </c>
      <c r="B7" s="15">
        <v>6.5</v>
      </c>
      <c r="C7" s="15">
        <f>1.35*'G-1'!E22+'G-2'!E25+1.5*'Q-1'!E28</f>
        <v>-554.70159999999998</v>
      </c>
      <c r="D7" s="15">
        <f>1.35*'G-1'!F22+'G-2'!F25+1.5*'Q-1'!F28</f>
        <v>38.283000000000001</v>
      </c>
      <c r="E7" s="15">
        <f>1.35*'G-1'!G22+'G-2'!G25+1.5*'Q-1'!G28</f>
        <v>0</v>
      </c>
      <c r="F7" s="15">
        <f>1.35*'G-1'!H22+'G-2'!H25+1.5*'Q-1'!H28</f>
        <v>0</v>
      </c>
      <c r="G7" s="15">
        <f>1.35*'G-1'!I22+'G-2'!I25+1.5*'Q-1'!I28</f>
        <v>0</v>
      </c>
      <c r="H7" s="15">
        <f>1.35*'G-1'!J22+'G-2'!J25+1.5*'Q-1'!J28</f>
        <v>-127.73572000000003</v>
      </c>
    </row>
    <row r="8" spans="1:8">
      <c r="A8" s="16" t="s">
        <v>22</v>
      </c>
      <c r="B8" s="17">
        <v>0</v>
      </c>
      <c r="C8" s="17">
        <f>1.35*'G-1'!E35+'G-2'!E38+1.5*'Q-1'!E41</f>
        <v>-131.26495</v>
      </c>
      <c r="D8" s="17">
        <f>1.35*'G-1'!F35+'G-2'!F38+1.5*'Q-1'!F41</f>
        <v>31.405749999999998</v>
      </c>
      <c r="E8" s="17">
        <f>1.35*'G-1'!G35+'G-2'!G38+1.5*'Q-1'!G41</f>
        <v>0</v>
      </c>
      <c r="F8" s="17">
        <f>1.35*'G-1'!H35+'G-2'!H38+1.5*'Q-1'!H41</f>
        <v>0</v>
      </c>
      <c r="G8" s="17">
        <f>1.35*'G-1'!I35+'G-2'!I38+1.5*'Q-1'!I41</f>
        <v>0</v>
      </c>
      <c r="H8" s="17">
        <f>1.35*'G-1'!J35+'G-2'!J38+1.5*'Q-1'!J41</f>
        <v>59.820855000000002</v>
      </c>
    </row>
    <row r="9" spans="1:8">
      <c r="A9" s="16" t="s">
        <v>22</v>
      </c>
      <c r="B9" s="17">
        <v>3.25</v>
      </c>
      <c r="C9" s="17">
        <f>1.35*'G-1'!E36+'G-2'!E39+1.5*'Q-1'!E42</f>
        <v>-131.26495</v>
      </c>
      <c r="D9" s="17">
        <f>1.35*'G-1'!F36+'G-2'!F39+1.5*'Q-1'!F42</f>
        <v>31.405749999999998</v>
      </c>
      <c r="E9" s="17">
        <f>1.35*'G-1'!G36+'G-2'!G39+1.5*'Q-1'!G42</f>
        <v>0</v>
      </c>
      <c r="F9" s="17">
        <f>1.35*'G-1'!H36+'G-2'!H39+1.5*'Q-1'!H42</f>
        <v>0</v>
      </c>
      <c r="G9" s="17">
        <f>1.35*'G-1'!I36+'G-2'!I39+1.5*'Q-1'!I42</f>
        <v>0</v>
      </c>
      <c r="H9" s="17">
        <f>1.35*'G-1'!J36+'G-2'!J39+1.5*'Q-1'!J42</f>
        <v>-21.834319999999998</v>
      </c>
    </row>
    <row r="10" spans="1:8">
      <c r="A10" s="16" t="s">
        <v>22</v>
      </c>
      <c r="B10" s="17">
        <v>6.5</v>
      </c>
      <c r="C10" s="17">
        <f>1.35*'G-1'!E37+'G-2'!E40+1.5*'Q-1'!E43</f>
        <v>-131.26495</v>
      </c>
      <c r="D10" s="17">
        <f>1.35*'G-1'!F37+'G-2'!F40+1.5*'Q-1'!F43</f>
        <v>31.405749999999998</v>
      </c>
      <c r="E10" s="17">
        <f>1.35*'G-1'!G37+'G-2'!G40+1.5*'Q-1'!G43</f>
        <v>0</v>
      </c>
      <c r="F10" s="17">
        <f>1.35*'G-1'!H37+'G-2'!H40+1.5*'Q-1'!H43</f>
        <v>0</v>
      </c>
      <c r="G10" s="17">
        <f>1.35*'G-1'!I37+'G-2'!I40+1.5*'Q-1'!I43</f>
        <v>0</v>
      </c>
      <c r="H10" s="17">
        <f>1.35*'G-1'!J37+'G-2'!J40+1.5*'Q-1'!J43</f>
        <v>-103.489395</v>
      </c>
    </row>
    <row r="11" spans="1:8">
      <c r="A11" s="18" t="s">
        <v>24</v>
      </c>
      <c r="B11" s="19">
        <v>0</v>
      </c>
      <c r="C11" s="19">
        <f>1.35*'G-1'!E56+'G-2'!E65+1.5*'Q-1'!E74</f>
        <v>0</v>
      </c>
      <c r="D11" s="19">
        <f>1.35*'G-1'!F56+'G-2'!F65+1.5*'Q-1'!F74</f>
        <v>-311.66270000000003</v>
      </c>
      <c r="E11" s="19">
        <f>1.35*'G-1'!G56+'G-2'!G65+1.5*'Q-1'!G74</f>
        <v>0</v>
      </c>
      <c r="F11" s="19">
        <f>1.35*'G-1'!H56+'G-2'!H65+1.5*'Q-1'!H74</f>
        <v>0</v>
      </c>
      <c r="G11" s="19">
        <f>1.35*'G-1'!I56+'G-2'!I65+1.5*'Q-1'!I74</f>
        <v>0</v>
      </c>
      <c r="H11" s="19">
        <f>1.35*'G-1'!J56+'G-2'!J65+1.5*'Q-1'!J74</f>
        <v>-252.94356999999999</v>
      </c>
    </row>
    <row r="12" spans="1:8">
      <c r="A12" s="18" t="s">
        <v>24</v>
      </c>
      <c r="B12" s="19">
        <v>1.25</v>
      </c>
      <c r="C12" s="19">
        <f>1.35*'G-1'!E57+'G-2'!E66+1.5*'Q-1'!E75</f>
        <v>0</v>
      </c>
      <c r="D12" s="19">
        <f>1.35*'G-1'!F57+'G-2'!F66+1.5*'Q-1'!F75</f>
        <v>-227.09719999999999</v>
      </c>
      <c r="E12" s="19">
        <f>1.35*'G-1'!G57+'G-2'!G66+1.5*'Q-1'!G75</f>
        <v>0</v>
      </c>
      <c r="F12" s="19">
        <f>1.35*'G-1'!H57+'G-2'!H66+1.5*'Q-1'!H75</f>
        <v>0</v>
      </c>
      <c r="G12" s="19">
        <f>1.35*'G-1'!I57+'G-2'!I66+1.5*'Q-1'!I75</f>
        <v>0</v>
      </c>
      <c r="H12" s="19">
        <f>1.35*'G-1'!J57+'G-2'!J66+1.5*'Q-1'!J75</f>
        <v>18.120404999999998</v>
      </c>
    </row>
    <row r="13" spans="1:8">
      <c r="A13" s="18" t="s">
        <v>24</v>
      </c>
      <c r="B13" s="19">
        <v>2.5</v>
      </c>
      <c r="C13" s="19">
        <f>1.35*'G-1'!E58+'G-2'!E67+1.5*'Q-1'!E76</f>
        <v>0</v>
      </c>
      <c r="D13" s="19">
        <f>1.35*'G-1'!F58+'G-2'!F67+1.5*'Q-1'!F76</f>
        <v>-142.53455000000002</v>
      </c>
      <c r="E13" s="19">
        <f>1.35*'G-1'!G58+'G-2'!G67+1.5*'Q-1'!G76</f>
        <v>0</v>
      </c>
      <c r="F13" s="19">
        <f>1.35*'G-1'!H58+'G-2'!H67+1.5*'Q-1'!H76</f>
        <v>0</v>
      </c>
      <c r="G13" s="19">
        <f>1.35*'G-1'!I58+'G-2'!I67+1.5*'Q-1'!I76</f>
        <v>0</v>
      </c>
      <c r="H13" s="19">
        <f>1.35*'G-1'!J58+'G-2'!J67+1.5*'Q-1'!J76</f>
        <v>204.09156000000002</v>
      </c>
    </row>
    <row r="14" spans="1:8">
      <c r="A14" s="18" t="s">
        <v>24</v>
      </c>
      <c r="B14" s="19">
        <v>3.75</v>
      </c>
      <c r="C14" s="19">
        <f>1.35*'G-1'!E59+'G-2'!E68+1.5*'Q-1'!E77</f>
        <v>0</v>
      </c>
      <c r="D14" s="19">
        <f>1.35*'G-1'!F59+'G-2'!F68+1.5*'Q-1'!F77</f>
        <v>-57.970399999999998</v>
      </c>
      <c r="E14" s="19">
        <f>1.35*'G-1'!G59+'G-2'!G68+1.5*'Q-1'!G77</f>
        <v>0</v>
      </c>
      <c r="F14" s="19">
        <f>1.35*'G-1'!H59+'G-2'!H68+1.5*'Q-1'!H77</f>
        <v>0</v>
      </c>
      <c r="G14" s="19">
        <f>1.35*'G-1'!I59+'G-2'!I68+1.5*'Q-1'!I77</f>
        <v>0</v>
      </c>
      <c r="H14" s="19">
        <f>1.35*'G-1'!J59+'G-2'!J68+1.5*'Q-1'!J77</f>
        <v>304.97023000000002</v>
      </c>
    </row>
    <row r="15" spans="1:8">
      <c r="A15" s="18" t="s">
        <v>24</v>
      </c>
      <c r="B15" s="19">
        <v>5</v>
      </c>
      <c r="C15" s="19">
        <f>1.35*'G-1'!E60+'G-2'!E69+1.5*'Q-1'!E78</f>
        <v>0</v>
      </c>
      <c r="D15" s="19">
        <f>1.35*'G-1'!F60+'G-2'!F69+1.5*'Q-1'!F78</f>
        <v>26.595099999999999</v>
      </c>
      <c r="E15" s="19">
        <f>1.35*'G-1'!G60+'G-2'!G69+1.5*'Q-1'!G78</f>
        <v>0</v>
      </c>
      <c r="F15" s="19">
        <f>1.35*'G-1'!H60+'G-2'!H69+1.5*'Q-1'!H78</f>
        <v>0</v>
      </c>
      <c r="G15" s="19">
        <f>1.35*'G-1'!I60+'G-2'!I69+1.5*'Q-1'!I78</f>
        <v>0</v>
      </c>
      <c r="H15" s="19">
        <f>1.35*'G-1'!J60+'G-2'!J69+1.5*'Q-1'!J78</f>
        <v>320.75589500000001</v>
      </c>
    </row>
    <row r="16" spans="1:8">
      <c r="A16" s="18" t="s">
        <v>24</v>
      </c>
      <c r="B16" s="19">
        <v>6.25</v>
      </c>
      <c r="C16" s="19">
        <f>1.35*'G-1'!E61+'G-2'!E70+1.5*'Q-1'!E79</f>
        <v>0</v>
      </c>
      <c r="D16" s="19">
        <f>1.35*'G-1'!F61+'G-2'!F70+1.5*'Q-1'!F79</f>
        <v>111.15924999999999</v>
      </c>
      <c r="E16" s="19">
        <f>1.35*'G-1'!G61+'G-2'!G70+1.5*'Q-1'!G79</f>
        <v>0</v>
      </c>
      <c r="F16" s="19">
        <f>1.35*'G-1'!H61+'G-2'!H70+1.5*'Q-1'!H79</f>
        <v>0</v>
      </c>
      <c r="G16" s="19">
        <f>1.35*'G-1'!I61+'G-2'!I70+1.5*'Q-1'!I79</f>
        <v>0</v>
      </c>
      <c r="H16" s="19">
        <f>1.35*'G-1'!J61+'G-2'!J70+1.5*'Q-1'!J79</f>
        <v>251.44872500000002</v>
      </c>
    </row>
    <row r="17" spans="1:8">
      <c r="A17" s="18" t="s">
        <v>24</v>
      </c>
      <c r="B17" s="19">
        <v>7.5</v>
      </c>
      <c r="C17" s="19">
        <f>1.35*'G-1'!E62+'G-2'!E71+1.5*'Q-1'!E80</f>
        <v>0</v>
      </c>
      <c r="D17" s="19">
        <f>1.35*'G-1'!F62+'G-2'!F71+1.5*'Q-1'!F80</f>
        <v>195.72190000000001</v>
      </c>
      <c r="E17" s="19">
        <f>1.35*'G-1'!G62+'G-2'!G71+1.5*'Q-1'!G80</f>
        <v>0</v>
      </c>
      <c r="F17" s="19">
        <f>1.35*'G-1'!H62+'G-2'!H71+1.5*'Q-1'!H80</f>
        <v>0</v>
      </c>
      <c r="G17" s="19">
        <f>1.35*'G-1'!I62+'G-2'!I71+1.5*'Q-1'!I80</f>
        <v>0</v>
      </c>
      <c r="H17" s="19">
        <f>1.35*'G-1'!J62+'G-2'!J71+1.5*'Q-1'!J80</f>
        <v>97.049084999999991</v>
      </c>
    </row>
    <row r="18" spans="1:8">
      <c r="A18" s="18" t="s">
        <v>24</v>
      </c>
      <c r="B18" s="19">
        <v>8.75</v>
      </c>
      <c r="C18" s="19">
        <f>1.35*'G-1'!E63+'G-2'!E72+1.5*'Q-1'!E81</f>
        <v>0</v>
      </c>
      <c r="D18" s="19">
        <f>1.35*'G-1'!F63+'G-2'!F72+1.5*'Q-1'!F81</f>
        <v>280.28605000000005</v>
      </c>
      <c r="E18" s="19">
        <f>1.35*'G-1'!G63+'G-2'!G72+1.5*'Q-1'!G81</f>
        <v>0</v>
      </c>
      <c r="F18" s="19">
        <f>1.35*'G-1'!H63+'G-2'!H72+1.5*'Q-1'!H81</f>
        <v>0</v>
      </c>
      <c r="G18" s="19">
        <f>1.35*'G-1'!I63+'G-2'!I72+1.5*'Q-1'!I81</f>
        <v>0</v>
      </c>
      <c r="H18" s="19">
        <f>1.35*'G-1'!J63+'G-2'!J72+1.5*'Q-1'!J81</f>
        <v>-142.44367500000001</v>
      </c>
    </row>
    <row r="19" spans="1:8">
      <c r="A19" s="18" t="s">
        <v>24</v>
      </c>
      <c r="B19" s="19">
        <v>10</v>
      </c>
      <c r="C19" s="19">
        <f>1.35*'G-1'!E64+'G-2'!E73+1.5*'Q-1'!E82</f>
        <v>0</v>
      </c>
      <c r="D19" s="19">
        <f>1.35*'G-1'!F64+'G-2'!F73+1.5*'Q-1'!F82</f>
        <v>364.85154999999997</v>
      </c>
      <c r="E19" s="19">
        <f>1.35*'G-1'!G64+'G-2'!G73+1.5*'Q-1'!G82</f>
        <v>0</v>
      </c>
      <c r="F19" s="19">
        <f>1.35*'G-1'!H64+'G-2'!H73+1.5*'Q-1'!H82</f>
        <v>0</v>
      </c>
      <c r="G19" s="19">
        <f>1.35*'G-1'!I64+'G-2'!I73+1.5*'Q-1'!I82</f>
        <v>0</v>
      </c>
      <c r="H19" s="19">
        <f>1.35*'G-1'!J64+'G-2'!J73+1.5*'Q-1'!J82</f>
        <v>-467.02892000000003</v>
      </c>
    </row>
    <row r="20" spans="1:8">
      <c r="A20" s="20" t="s">
        <v>26</v>
      </c>
      <c r="B20" s="21">
        <v>0</v>
      </c>
      <c r="C20" s="21">
        <f>1.35*'G-1'!E101+'G-2'!E110+1.5*'Q-1'!E119</f>
        <v>0</v>
      </c>
      <c r="D20" s="21">
        <f>1.35*'G-1'!F101+'G-2'!F110+1.5*'Q-1'!F119</f>
        <v>-189.85005000000001</v>
      </c>
      <c r="E20" s="21">
        <f>1.35*'G-1'!G101+'G-2'!G110+1.5*'Q-1'!G119</f>
        <v>0</v>
      </c>
      <c r="F20" s="21">
        <f>1.35*'G-1'!H101+'G-2'!H110+1.5*'Q-1'!H119</f>
        <v>0</v>
      </c>
      <c r="G20" s="21">
        <f>1.35*'G-1'!I101+'G-2'!I110+1.5*'Q-1'!I119</f>
        <v>0</v>
      </c>
      <c r="H20" s="21">
        <f>1.35*'G-1'!J101+'G-2'!J110+1.5*'Q-1'!J119</f>
        <v>-339.29320000000007</v>
      </c>
    </row>
    <row r="21" spans="1:8" ht="15.75" customHeight="1">
      <c r="A21" s="20" t="s">
        <v>26</v>
      </c>
      <c r="B21" s="21">
        <v>1.25</v>
      </c>
      <c r="C21" s="21">
        <f>1.35*'G-1'!E102+'G-2'!E111+1.5*'Q-1'!E120</f>
        <v>0</v>
      </c>
      <c r="D21" s="21">
        <f>1.35*'G-1'!F102+'G-2'!F111+1.5*'Q-1'!F120</f>
        <v>-149.71005000000002</v>
      </c>
      <c r="E21" s="21">
        <f>1.35*'G-1'!G102+'G-2'!G111+1.5*'Q-1'!G120</f>
        <v>0</v>
      </c>
      <c r="F21" s="21">
        <f>1.35*'G-1'!H102+'G-2'!H111+1.5*'Q-1'!H120</f>
        <v>0</v>
      </c>
      <c r="G21" s="21">
        <f>1.35*'G-1'!I102+'G-2'!I111+1.5*'Q-1'!I120</f>
        <v>0</v>
      </c>
      <c r="H21" s="21">
        <f>1.35*'G-1'!J102+'G-2'!J111+1.5*'Q-1'!J120</f>
        <v>-168.4522</v>
      </c>
    </row>
    <row r="22" spans="1:8" ht="15.75" customHeight="1">
      <c r="A22" s="20" t="s">
        <v>26</v>
      </c>
      <c r="B22" s="21">
        <v>2.5</v>
      </c>
      <c r="C22" s="21">
        <f>1.35*'G-1'!E103+'G-2'!E112+1.5*'Q-1'!E121</f>
        <v>0</v>
      </c>
      <c r="D22" s="21">
        <f>1.35*'G-1'!F103+'G-2'!F112+1.5*'Q-1'!F121</f>
        <v>-109.57105</v>
      </c>
      <c r="E22" s="21">
        <f>1.35*'G-1'!G103+'G-2'!G112+1.5*'Q-1'!G121</f>
        <v>0</v>
      </c>
      <c r="F22" s="21">
        <f>1.35*'G-1'!H103+'G-2'!H112+1.5*'Q-1'!H121</f>
        <v>0</v>
      </c>
      <c r="G22" s="21">
        <f>1.35*'G-1'!I103+'G-2'!I112+1.5*'Q-1'!I121</f>
        <v>0</v>
      </c>
      <c r="H22" s="21">
        <f>1.35*'G-1'!J103+'G-2'!J112+1.5*'Q-1'!J121</f>
        <v>-38.001165000000007</v>
      </c>
    </row>
    <row r="23" spans="1:8" ht="15.75" customHeight="1">
      <c r="A23" s="20" t="s">
        <v>26</v>
      </c>
      <c r="B23" s="21">
        <v>3.75</v>
      </c>
      <c r="C23" s="21">
        <f>1.35*'G-1'!E104+'G-2'!E113+1.5*'Q-1'!E122</f>
        <v>0</v>
      </c>
      <c r="D23" s="21">
        <f>1.35*'G-1'!F104+'G-2'!F113+1.5*'Q-1'!F122</f>
        <v>-69.432050000000004</v>
      </c>
      <c r="E23" s="21">
        <f>1.35*'G-1'!G104+'G-2'!G113+1.5*'Q-1'!G122</f>
        <v>0</v>
      </c>
      <c r="F23" s="21">
        <f>1.35*'G-1'!H104+'G-2'!H113+1.5*'Q-1'!H122</f>
        <v>0</v>
      </c>
      <c r="G23" s="21">
        <f>1.35*'G-1'!I104+'G-2'!I113+1.5*'Q-1'!I122</f>
        <v>0</v>
      </c>
      <c r="H23" s="21">
        <f>1.35*'G-1'!J104+'G-2'!J113+1.5*'Q-1'!J122</f>
        <v>52.05953499999999</v>
      </c>
    </row>
    <row r="24" spans="1:8" ht="15.75" customHeight="1">
      <c r="A24" s="20" t="s">
        <v>26</v>
      </c>
      <c r="B24" s="21">
        <v>5</v>
      </c>
      <c r="C24" s="21">
        <f>1.35*'G-1'!E105+'G-2'!E114+1.5*'Q-1'!E123</f>
        <v>0</v>
      </c>
      <c r="D24" s="21">
        <f>1.35*'G-1'!F105+'G-2'!F114+1.5*'Q-1'!F123</f>
        <v>-29.293050000000001</v>
      </c>
      <c r="E24" s="21">
        <f>1.35*'G-1'!G105+'G-2'!G114+1.5*'Q-1'!G123</f>
        <v>0</v>
      </c>
      <c r="F24" s="21">
        <f>1.35*'G-1'!H105+'G-2'!H114+1.5*'Q-1'!H123</f>
        <v>0</v>
      </c>
      <c r="G24" s="21">
        <f>1.35*'G-1'!I105+'G-2'!I114+1.5*'Q-1'!I123</f>
        <v>0</v>
      </c>
      <c r="H24" s="21">
        <f>1.35*'G-1'!J105+'G-2'!J114+1.5*'Q-1'!J123</f>
        <v>101.73016999999999</v>
      </c>
    </row>
    <row r="25" spans="1:8" ht="15.75" customHeight="1">
      <c r="A25" s="20" t="s">
        <v>26</v>
      </c>
      <c r="B25" s="21">
        <v>6.25</v>
      </c>
      <c r="C25" s="21">
        <f>1.35*'G-1'!E106+'G-2'!E115+1.5*'Q-1'!E124</f>
        <v>0</v>
      </c>
      <c r="D25" s="21">
        <f>1.35*'G-1'!F106+'G-2'!F115+1.5*'Q-1'!F124</f>
        <v>10.846949999999998</v>
      </c>
      <c r="E25" s="21">
        <f>1.35*'G-1'!G106+'G-2'!G115+1.5*'Q-1'!G124</f>
        <v>0</v>
      </c>
      <c r="F25" s="21">
        <f>1.35*'G-1'!H106+'G-2'!H115+1.5*'Q-1'!H124</f>
        <v>0</v>
      </c>
      <c r="G25" s="21">
        <f>1.35*'G-1'!I106+'G-2'!I115+1.5*'Q-1'!I124</f>
        <v>0</v>
      </c>
      <c r="H25" s="21">
        <f>1.35*'G-1'!J106+'G-2'!J115+1.5*'Q-1'!J124</f>
        <v>111.01057</v>
      </c>
    </row>
    <row r="26" spans="1:8" ht="15.75" customHeight="1">
      <c r="A26" s="20" t="s">
        <v>26</v>
      </c>
      <c r="B26" s="21">
        <v>7.5</v>
      </c>
      <c r="C26" s="21">
        <f>1.35*'G-1'!E107+'G-2'!E116+1.5*'Q-1'!E125</f>
        <v>0</v>
      </c>
      <c r="D26" s="21">
        <f>1.35*'G-1'!F107+'G-2'!F116+1.5*'Q-1'!F125</f>
        <v>50.985950000000003</v>
      </c>
      <c r="E26" s="21">
        <f>1.35*'G-1'!G107+'G-2'!G116+1.5*'Q-1'!G125</f>
        <v>0</v>
      </c>
      <c r="F26" s="21">
        <f>1.35*'G-1'!H107+'G-2'!H116+1.5*'Q-1'!H125</f>
        <v>0</v>
      </c>
      <c r="G26" s="21">
        <f>1.35*'G-1'!I107+'G-2'!I116+1.5*'Q-1'!I125</f>
        <v>0</v>
      </c>
      <c r="H26" s="21">
        <f>1.35*'G-1'!J107+'G-2'!J116+1.5*'Q-1'!J125</f>
        <v>79.900669999999991</v>
      </c>
    </row>
    <row r="27" spans="1:8" ht="15.75" customHeight="1">
      <c r="A27" s="20" t="s">
        <v>26</v>
      </c>
      <c r="B27" s="21">
        <v>8.75</v>
      </c>
      <c r="C27" s="21">
        <f>1.35*'G-1'!E108+'G-2'!E117+1.5*'Q-1'!E126</f>
        <v>0</v>
      </c>
      <c r="D27" s="21">
        <f>1.35*'G-1'!F108+'G-2'!F117+1.5*'Q-1'!F126</f>
        <v>91.124949999999998</v>
      </c>
      <c r="E27" s="21">
        <f>1.35*'G-1'!G108+'G-2'!G117+1.5*'Q-1'!G126</f>
        <v>0</v>
      </c>
      <c r="F27" s="21">
        <f>1.35*'G-1'!H108+'G-2'!H117+1.5*'Q-1'!H126</f>
        <v>0</v>
      </c>
      <c r="G27" s="21">
        <f>1.35*'G-1'!I108+'G-2'!I117+1.5*'Q-1'!I126</f>
        <v>0</v>
      </c>
      <c r="H27" s="21">
        <f>1.35*'G-1'!J108+'G-2'!J117+1.5*'Q-1'!J126</f>
        <v>8.4008050000000001</v>
      </c>
    </row>
    <row r="28" spans="1:8" ht="15.75" customHeight="1">
      <c r="A28" s="20" t="s">
        <v>26</v>
      </c>
      <c r="B28" s="21">
        <v>10</v>
      </c>
      <c r="C28" s="21">
        <f>1.35*'G-1'!E109+'G-2'!E118+1.5*'Q-1'!E127</f>
        <v>0</v>
      </c>
      <c r="D28" s="21">
        <f>1.35*'G-1'!F109+'G-2'!F118+1.5*'Q-1'!F127</f>
        <v>131.26495</v>
      </c>
      <c r="E28" s="21">
        <f>1.35*'G-1'!G109+'G-2'!G118+1.5*'Q-1'!G127</f>
        <v>0</v>
      </c>
      <c r="F28" s="21">
        <f>1.35*'G-1'!H109+'G-2'!H118+1.5*'Q-1'!H127</f>
        <v>0</v>
      </c>
      <c r="G28" s="21">
        <f>1.35*'G-1'!I109+'G-2'!I118+1.5*'Q-1'!I127</f>
        <v>0</v>
      </c>
      <c r="H28" s="21">
        <f>1.35*'G-1'!J109+'G-2'!J118+1.5*'Q-1'!J127</f>
        <v>-103.489395</v>
      </c>
    </row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8D08D"/>
  </sheetPr>
  <dimension ref="A1:H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8">
      <c r="A1" s="6" t="s">
        <v>0</v>
      </c>
      <c r="B1" s="6" t="s">
        <v>1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spans="1:8">
      <c r="A2" s="12" t="s">
        <v>12</v>
      </c>
      <c r="B2" s="13">
        <v>0</v>
      </c>
      <c r="C2" s="13">
        <f>'G-1'!E5+1.35*'G-2'!E8+1.5*'Q-2'!E14</f>
        <v>-131.26495</v>
      </c>
      <c r="D2" s="13">
        <f>'G-1'!F5+1.35*'G-2'!F8+1.5*'Q-2'!F14</f>
        <v>-31.405749999999998</v>
      </c>
      <c r="E2" s="13">
        <f>'G-1'!G5+1.35*'G-2'!G8+1.5*'Q-2'!G14</f>
        <v>0</v>
      </c>
      <c r="F2" s="13">
        <f>'G-1'!H5+1.35*'G-2'!H8+1.5*'Q-2'!H14</f>
        <v>0</v>
      </c>
      <c r="G2" s="13">
        <f>'G-1'!I5+1.35*'G-2'!I8+1.5*'Q-2'!I14</f>
        <v>0</v>
      </c>
      <c r="H2" s="13">
        <f>'G-1'!J5+1.35*'G-2'!J8+1.5*'Q-2'!J14</f>
        <v>-59.820855000000002</v>
      </c>
    </row>
    <row r="3" spans="1:8">
      <c r="A3" s="12" t="s">
        <v>12</v>
      </c>
      <c r="B3" s="13">
        <v>3.25</v>
      </c>
      <c r="C3" s="13">
        <f>'G-1'!E6+1.35*'G-2'!E9+1.5*'Q-2'!E15</f>
        <v>-131.26495</v>
      </c>
      <c r="D3" s="13">
        <f>'G-1'!F6+1.35*'G-2'!F9+1.5*'Q-2'!F15</f>
        <v>-31.405749999999998</v>
      </c>
      <c r="E3" s="13">
        <f>'G-1'!G6+1.35*'G-2'!G9+1.5*'Q-2'!G15</f>
        <v>0</v>
      </c>
      <c r="F3" s="13">
        <f>'G-1'!H6+1.35*'G-2'!H9+1.5*'Q-2'!H15</f>
        <v>0</v>
      </c>
      <c r="G3" s="13">
        <f>'G-1'!I6+1.35*'G-2'!I9+1.5*'Q-2'!I15</f>
        <v>0</v>
      </c>
      <c r="H3" s="13">
        <f>'G-1'!J6+1.35*'G-2'!J9+1.5*'Q-2'!J15</f>
        <v>21.834319999999998</v>
      </c>
    </row>
    <row r="4" spans="1:8">
      <c r="A4" s="12" t="s">
        <v>12</v>
      </c>
      <c r="B4" s="13">
        <v>6.5</v>
      </c>
      <c r="C4" s="13">
        <f>'G-1'!E7+1.35*'G-2'!E10+1.5*'Q-2'!E16</f>
        <v>-131.26495</v>
      </c>
      <c r="D4" s="13">
        <f>'G-1'!F7+1.35*'G-2'!F10+1.5*'Q-2'!F16</f>
        <v>-31.405749999999998</v>
      </c>
      <c r="E4" s="13">
        <f>'G-1'!G7+1.35*'G-2'!G10+1.5*'Q-2'!G16</f>
        <v>0</v>
      </c>
      <c r="F4" s="13">
        <f>'G-1'!H7+1.35*'G-2'!H10+1.5*'Q-2'!H16</f>
        <v>0</v>
      </c>
      <c r="G4" s="13">
        <f>'G-1'!I7+1.35*'G-2'!I10+1.5*'Q-2'!I16</f>
        <v>0</v>
      </c>
      <c r="H4" s="13">
        <f>'G-1'!J7+1.35*'G-2'!J10+1.5*'Q-2'!J16</f>
        <v>103.489395</v>
      </c>
    </row>
    <row r="5" spans="1:8">
      <c r="A5" s="14" t="s">
        <v>20</v>
      </c>
      <c r="B5" s="15">
        <v>0</v>
      </c>
      <c r="C5" s="15">
        <f>'G-1'!E20+1.35*'G-2'!E23+1.5*'Q-2'!E29</f>
        <v>-554.70159999999998</v>
      </c>
      <c r="D5" s="15">
        <f>'G-1'!F20+1.35*'G-2'!F23+1.5*'Q-2'!F29</f>
        <v>-38.283000000000001</v>
      </c>
      <c r="E5" s="15">
        <f>'G-1'!G20+1.35*'G-2'!G23+1.5*'Q-2'!G29</f>
        <v>0</v>
      </c>
      <c r="F5" s="15">
        <f>'G-1'!H20+1.35*'G-2'!H23+1.5*'Q-2'!H29</f>
        <v>0</v>
      </c>
      <c r="G5" s="15">
        <f>'G-1'!I20+1.35*'G-2'!I23+1.5*'Q-2'!I29</f>
        <v>0</v>
      </c>
      <c r="H5" s="15">
        <f>'G-1'!J20+1.35*'G-2'!J23+1.5*'Q-2'!J29</f>
        <v>-71.334685000000007</v>
      </c>
    </row>
    <row r="6" spans="1:8">
      <c r="A6" s="14" t="s">
        <v>20</v>
      </c>
      <c r="B6" s="15">
        <v>3.25</v>
      </c>
      <c r="C6" s="15">
        <f>'G-1'!E21+1.35*'G-2'!E24+1.5*'Q-2'!E30</f>
        <v>-554.70159999999998</v>
      </c>
      <c r="D6" s="15">
        <f>'G-1'!F21+1.35*'G-2'!F24+1.5*'Q-2'!F30</f>
        <v>-38.283000000000001</v>
      </c>
      <c r="E6" s="15">
        <f>'G-1'!G21+1.35*'G-2'!G24+1.5*'Q-2'!G30</f>
        <v>0</v>
      </c>
      <c r="F6" s="15">
        <f>'G-1'!H21+1.35*'G-2'!H24+1.5*'Q-2'!H30</f>
        <v>0</v>
      </c>
      <c r="G6" s="15">
        <f>'G-1'!I21+1.35*'G-2'!I24+1.5*'Q-2'!I30</f>
        <v>0</v>
      </c>
      <c r="H6" s="15">
        <f>'G-1'!J21+1.35*'G-2'!J24+1.5*'Q-2'!J30</f>
        <v>28.200500000000002</v>
      </c>
    </row>
    <row r="7" spans="1:8">
      <c r="A7" s="14" t="s">
        <v>20</v>
      </c>
      <c r="B7" s="15">
        <v>6.5</v>
      </c>
      <c r="C7" s="15">
        <f>'G-1'!E22+1.35*'G-2'!E25+1.5*'Q-2'!E31</f>
        <v>-554.70159999999998</v>
      </c>
      <c r="D7" s="15">
        <f>'G-1'!F22+1.35*'G-2'!F25+1.5*'Q-2'!F31</f>
        <v>-38.283000000000001</v>
      </c>
      <c r="E7" s="15">
        <f>'G-1'!G22+1.35*'G-2'!G25+1.5*'Q-2'!G31</f>
        <v>0</v>
      </c>
      <c r="F7" s="15">
        <f>'G-1'!H22+1.35*'G-2'!H25+1.5*'Q-2'!H31</f>
        <v>0</v>
      </c>
      <c r="G7" s="15">
        <f>'G-1'!I22+1.35*'G-2'!I25+1.5*'Q-2'!I31</f>
        <v>0</v>
      </c>
      <c r="H7" s="15">
        <f>'G-1'!J22+1.35*'G-2'!J25+1.5*'Q-2'!J31</f>
        <v>127.73572000000003</v>
      </c>
    </row>
    <row r="8" spans="1:8">
      <c r="A8" s="16" t="s">
        <v>22</v>
      </c>
      <c r="B8" s="17">
        <v>0</v>
      </c>
      <c r="C8" s="17">
        <f>'G-1'!E35+1.35*'G-2'!E38+1.5*'Q-2'!E44</f>
        <v>-311.66270000000003</v>
      </c>
      <c r="D8" s="17">
        <f>'G-1'!F35+1.35*'G-2'!F38+1.5*'Q-2'!F44</f>
        <v>69.688749999999999</v>
      </c>
      <c r="E8" s="17">
        <f>'G-1'!G35+1.35*'G-2'!G38+1.5*'Q-2'!G44</f>
        <v>0</v>
      </c>
      <c r="F8" s="17">
        <f>'G-1'!H35+1.35*'G-2'!H38+1.5*'Q-2'!H44</f>
        <v>0</v>
      </c>
      <c r="G8" s="17">
        <f>'G-1'!I35+1.35*'G-2'!I38+1.5*'Q-2'!I44</f>
        <v>0</v>
      </c>
      <c r="H8" s="17">
        <f>'G-1'!J35+1.35*'G-2'!J38+1.5*'Q-2'!J44</f>
        <v>109.437085</v>
      </c>
    </row>
    <row r="9" spans="1:8">
      <c r="A9" s="16" t="s">
        <v>22</v>
      </c>
      <c r="B9" s="17">
        <v>3.25</v>
      </c>
      <c r="C9" s="17">
        <f>'G-1'!E36+1.35*'G-2'!E39+1.5*'Q-2'!E45</f>
        <v>-311.66270000000003</v>
      </c>
      <c r="D9" s="17">
        <f>'G-1'!F36+1.35*'G-2'!F39+1.5*'Q-2'!F45</f>
        <v>69.688749999999999</v>
      </c>
      <c r="E9" s="17">
        <f>'G-1'!G36+1.35*'G-2'!G39+1.5*'Q-2'!G45</f>
        <v>0</v>
      </c>
      <c r="F9" s="17">
        <f>'G-1'!H36+1.35*'G-2'!H39+1.5*'Q-2'!H45</f>
        <v>0</v>
      </c>
      <c r="G9" s="17">
        <f>'G-1'!I36+1.35*'G-2'!I39+1.5*'Q-2'!I45</f>
        <v>0</v>
      </c>
      <c r="H9" s="17">
        <f>'G-1'!J36+1.35*'G-2'!J39+1.5*'Q-2'!J45</f>
        <v>-71.753309999999999</v>
      </c>
    </row>
    <row r="10" spans="1:8">
      <c r="A10" s="16" t="s">
        <v>22</v>
      </c>
      <c r="B10" s="17">
        <v>6.5</v>
      </c>
      <c r="C10" s="17">
        <f>'G-1'!E37+1.35*'G-2'!E40+1.5*'Q-2'!E46</f>
        <v>-311.66270000000003</v>
      </c>
      <c r="D10" s="17">
        <f>'G-1'!F37+1.35*'G-2'!F40+1.5*'Q-2'!F46</f>
        <v>69.688749999999999</v>
      </c>
      <c r="E10" s="17">
        <f>'G-1'!G37+1.35*'G-2'!G40+1.5*'Q-2'!G46</f>
        <v>0</v>
      </c>
      <c r="F10" s="17">
        <f>'G-1'!H37+1.35*'G-2'!H40+1.5*'Q-2'!H46</f>
        <v>0</v>
      </c>
      <c r="G10" s="17">
        <f>'G-1'!I37+1.35*'G-2'!I40+1.5*'Q-2'!I46</f>
        <v>0</v>
      </c>
      <c r="H10" s="17">
        <f>'G-1'!J37+1.35*'G-2'!J40+1.5*'Q-2'!J46</f>
        <v>-252.94356999999999</v>
      </c>
    </row>
    <row r="11" spans="1:8">
      <c r="A11" s="18" t="s">
        <v>24</v>
      </c>
      <c r="B11" s="19">
        <v>0</v>
      </c>
      <c r="C11" s="19">
        <f>'G-1'!E56+1.35*'G-2'!E65+1.5*'Q-2'!E83</f>
        <v>0</v>
      </c>
      <c r="D11" s="19">
        <f>'G-1'!F56+1.35*'G-2'!F65+1.5*'Q-2'!F83</f>
        <v>-131.26495</v>
      </c>
      <c r="E11" s="19">
        <f>'G-1'!G56+1.35*'G-2'!G65+1.5*'Q-2'!G83</f>
        <v>0</v>
      </c>
      <c r="F11" s="19">
        <f>'G-1'!H56+1.35*'G-2'!H65+1.5*'Q-2'!H83</f>
        <v>0</v>
      </c>
      <c r="G11" s="19">
        <f>'G-1'!I56+1.35*'G-2'!I65+1.5*'Q-2'!I83</f>
        <v>0</v>
      </c>
      <c r="H11" s="19">
        <f>'G-1'!J56+1.35*'G-2'!J65+1.5*'Q-2'!J83</f>
        <v>-103.489395</v>
      </c>
    </row>
    <row r="12" spans="1:8">
      <c r="A12" s="18" t="s">
        <v>24</v>
      </c>
      <c r="B12" s="19">
        <v>1.25</v>
      </c>
      <c r="C12" s="19">
        <f>'G-1'!E57+1.35*'G-2'!E66+1.5*'Q-2'!E84</f>
        <v>0</v>
      </c>
      <c r="D12" s="19">
        <f>'G-1'!F57+1.35*'G-2'!F66+1.5*'Q-2'!F84</f>
        <v>-91.124949999999998</v>
      </c>
      <c r="E12" s="19">
        <f>'G-1'!G57+1.35*'G-2'!G66+1.5*'Q-2'!G84</f>
        <v>0</v>
      </c>
      <c r="F12" s="19">
        <f>'G-1'!H57+1.35*'G-2'!H66+1.5*'Q-2'!H84</f>
        <v>0</v>
      </c>
      <c r="G12" s="19">
        <f>'G-1'!I57+1.35*'G-2'!I66+1.5*'Q-2'!I84</f>
        <v>0</v>
      </c>
      <c r="H12" s="19">
        <f>'G-1'!J57+1.35*'G-2'!J66+1.5*'Q-2'!J84</f>
        <v>8.4008050000000001</v>
      </c>
    </row>
    <row r="13" spans="1:8">
      <c r="A13" s="18" t="s">
        <v>24</v>
      </c>
      <c r="B13" s="19">
        <v>2.5</v>
      </c>
      <c r="C13" s="19">
        <f>'G-1'!E58+1.35*'G-2'!E67+1.5*'Q-2'!E85</f>
        <v>0</v>
      </c>
      <c r="D13" s="19">
        <f>'G-1'!F58+1.35*'G-2'!F67+1.5*'Q-2'!F85</f>
        <v>-50.985950000000003</v>
      </c>
      <c r="E13" s="19">
        <f>'G-1'!G58+1.35*'G-2'!G67+1.5*'Q-2'!G85</f>
        <v>0</v>
      </c>
      <c r="F13" s="19">
        <f>'G-1'!H58+1.35*'G-2'!H67+1.5*'Q-2'!H85</f>
        <v>0</v>
      </c>
      <c r="G13" s="19">
        <f>'G-1'!I58+1.35*'G-2'!I67+1.5*'Q-2'!I85</f>
        <v>0</v>
      </c>
      <c r="H13" s="19">
        <f>'G-1'!J58+1.35*'G-2'!J67+1.5*'Q-2'!J85</f>
        <v>79.900669999999991</v>
      </c>
    </row>
    <row r="14" spans="1:8">
      <c r="A14" s="18" t="s">
        <v>24</v>
      </c>
      <c r="B14" s="19">
        <v>3.75</v>
      </c>
      <c r="C14" s="19">
        <f>'G-1'!E59+1.35*'G-2'!E68+1.5*'Q-2'!E86</f>
        <v>0</v>
      </c>
      <c r="D14" s="19">
        <f>'G-1'!F59+1.35*'G-2'!F68+1.5*'Q-2'!F86</f>
        <v>-10.846949999999998</v>
      </c>
      <c r="E14" s="19">
        <f>'G-1'!G59+1.35*'G-2'!G68+1.5*'Q-2'!G86</f>
        <v>0</v>
      </c>
      <c r="F14" s="19">
        <f>'G-1'!H59+1.35*'G-2'!H68+1.5*'Q-2'!H86</f>
        <v>0</v>
      </c>
      <c r="G14" s="19">
        <f>'G-1'!I59+1.35*'G-2'!I68+1.5*'Q-2'!I86</f>
        <v>0</v>
      </c>
      <c r="H14" s="19">
        <f>'G-1'!J59+1.35*'G-2'!J68+1.5*'Q-2'!J86</f>
        <v>111.01057</v>
      </c>
    </row>
    <row r="15" spans="1:8">
      <c r="A15" s="18" t="s">
        <v>24</v>
      </c>
      <c r="B15" s="19">
        <v>5</v>
      </c>
      <c r="C15" s="19">
        <f>'G-1'!E60+1.35*'G-2'!E69+1.5*'Q-2'!E87</f>
        <v>0</v>
      </c>
      <c r="D15" s="19">
        <f>'G-1'!F60+1.35*'G-2'!F69+1.5*'Q-2'!F87</f>
        <v>29.293050000000001</v>
      </c>
      <c r="E15" s="19">
        <f>'G-1'!G60+1.35*'G-2'!G69+1.5*'Q-2'!G87</f>
        <v>0</v>
      </c>
      <c r="F15" s="19">
        <f>'G-1'!H60+1.35*'G-2'!H69+1.5*'Q-2'!H87</f>
        <v>0</v>
      </c>
      <c r="G15" s="19">
        <f>'G-1'!I60+1.35*'G-2'!I69+1.5*'Q-2'!I87</f>
        <v>0</v>
      </c>
      <c r="H15" s="19">
        <f>'G-1'!J60+1.35*'G-2'!J69+1.5*'Q-2'!J87</f>
        <v>101.73016999999999</v>
      </c>
    </row>
    <row r="16" spans="1:8">
      <c r="A16" s="18" t="s">
        <v>24</v>
      </c>
      <c r="B16" s="19">
        <v>6.25</v>
      </c>
      <c r="C16" s="19">
        <f>'G-1'!E61+1.35*'G-2'!E70+1.5*'Q-2'!E88</f>
        <v>0</v>
      </c>
      <c r="D16" s="19">
        <f>'G-1'!F61+1.35*'G-2'!F70+1.5*'Q-2'!F88</f>
        <v>69.432050000000004</v>
      </c>
      <c r="E16" s="19">
        <f>'G-1'!G61+1.35*'G-2'!G70+1.5*'Q-2'!G88</f>
        <v>0</v>
      </c>
      <c r="F16" s="19">
        <f>'G-1'!H61+1.35*'G-2'!H70+1.5*'Q-2'!H88</f>
        <v>0</v>
      </c>
      <c r="G16" s="19">
        <f>'G-1'!I61+1.35*'G-2'!I70+1.5*'Q-2'!I88</f>
        <v>0</v>
      </c>
      <c r="H16" s="19">
        <f>'G-1'!J61+1.35*'G-2'!J70+1.5*'Q-2'!J88</f>
        <v>52.05953499999999</v>
      </c>
    </row>
    <row r="17" spans="1:8">
      <c r="A17" s="18" t="s">
        <v>24</v>
      </c>
      <c r="B17" s="19">
        <v>7.5</v>
      </c>
      <c r="C17" s="19">
        <f>'G-1'!E62+1.35*'G-2'!E71+1.5*'Q-2'!E89</f>
        <v>0</v>
      </c>
      <c r="D17" s="19">
        <f>'G-1'!F62+1.35*'G-2'!F71+1.5*'Q-2'!F89</f>
        <v>109.57105</v>
      </c>
      <c r="E17" s="19">
        <f>'G-1'!G62+1.35*'G-2'!G71+1.5*'Q-2'!G89</f>
        <v>0</v>
      </c>
      <c r="F17" s="19">
        <f>'G-1'!H62+1.35*'G-2'!H71+1.5*'Q-2'!H89</f>
        <v>0</v>
      </c>
      <c r="G17" s="19">
        <f>'G-1'!I62+1.35*'G-2'!I71+1.5*'Q-2'!I89</f>
        <v>0</v>
      </c>
      <c r="H17" s="19">
        <f>'G-1'!J62+1.35*'G-2'!J71+1.5*'Q-2'!J89</f>
        <v>-38.001165000000007</v>
      </c>
    </row>
    <row r="18" spans="1:8">
      <c r="A18" s="18" t="s">
        <v>24</v>
      </c>
      <c r="B18" s="19">
        <v>8.75</v>
      </c>
      <c r="C18" s="19">
        <f>'G-1'!E63+1.35*'G-2'!E72+1.5*'Q-2'!E90</f>
        <v>0</v>
      </c>
      <c r="D18" s="19">
        <f>'G-1'!F63+1.35*'G-2'!F72+1.5*'Q-2'!F90</f>
        <v>149.71005000000002</v>
      </c>
      <c r="E18" s="19">
        <f>'G-1'!G63+1.35*'G-2'!G72+1.5*'Q-2'!G90</f>
        <v>0</v>
      </c>
      <c r="F18" s="19">
        <f>'G-1'!H63+1.35*'G-2'!H72+1.5*'Q-2'!H90</f>
        <v>0</v>
      </c>
      <c r="G18" s="19">
        <f>'G-1'!I63+1.35*'G-2'!I72+1.5*'Q-2'!I90</f>
        <v>0</v>
      </c>
      <c r="H18" s="19">
        <f>'G-1'!J63+1.35*'G-2'!J72+1.5*'Q-2'!J90</f>
        <v>-168.4522</v>
      </c>
    </row>
    <row r="19" spans="1:8">
      <c r="A19" s="18" t="s">
        <v>24</v>
      </c>
      <c r="B19" s="19">
        <v>10</v>
      </c>
      <c r="C19" s="19">
        <f>'G-1'!E64+1.35*'G-2'!E73+1.5*'Q-2'!E91</f>
        <v>0</v>
      </c>
      <c r="D19" s="19">
        <f>'G-1'!F64+1.35*'G-2'!F73+1.5*'Q-2'!F91</f>
        <v>189.85005000000001</v>
      </c>
      <c r="E19" s="19">
        <f>'G-1'!G64+1.35*'G-2'!G73+1.5*'Q-2'!G91</f>
        <v>0</v>
      </c>
      <c r="F19" s="19">
        <f>'G-1'!H64+1.35*'G-2'!H73+1.5*'Q-2'!H91</f>
        <v>0</v>
      </c>
      <c r="G19" s="19">
        <f>'G-1'!I64+1.35*'G-2'!I73+1.5*'Q-2'!I91</f>
        <v>0</v>
      </c>
      <c r="H19" s="19">
        <f>'G-1'!J64+1.35*'G-2'!J73+1.5*'Q-2'!J91</f>
        <v>-339.29320000000007</v>
      </c>
    </row>
    <row r="20" spans="1:8">
      <c r="A20" s="20" t="s">
        <v>26</v>
      </c>
      <c r="B20" s="21">
        <v>0</v>
      </c>
      <c r="C20" s="21">
        <f>'G-1'!E101+1.35*'G-2'!E110+1.5*'Q-2'!E128</f>
        <v>0</v>
      </c>
      <c r="D20" s="21">
        <f>'G-1'!F101+1.35*'G-2'!F110+1.5*'Q-2'!F128</f>
        <v>-364.85154999999997</v>
      </c>
      <c r="E20" s="21">
        <f>'G-1'!G101+1.35*'G-2'!G110+1.5*'Q-2'!G128</f>
        <v>0</v>
      </c>
      <c r="F20" s="21">
        <f>'G-1'!H101+1.35*'G-2'!H110+1.5*'Q-2'!H128</f>
        <v>0</v>
      </c>
      <c r="G20" s="21">
        <f>'G-1'!I101+1.35*'G-2'!I110+1.5*'Q-2'!I128</f>
        <v>0</v>
      </c>
      <c r="H20" s="21">
        <f>'G-1'!J101+1.35*'G-2'!J110+1.5*'Q-2'!J128</f>
        <v>-467.02892000000003</v>
      </c>
    </row>
    <row r="21" spans="1:8" ht="15.75" customHeight="1">
      <c r="A21" s="20" t="s">
        <v>26</v>
      </c>
      <c r="B21" s="21">
        <v>1.25</v>
      </c>
      <c r="C21" s="21">
        <f>'G-1'!E102+1.35*'G-2'!E111+1.5*'Q-2'!E129</f>
        <v>0</v>
      </c>
      <c r="D21" s="21">
        <f>'G-1'!F102+1.35*'G-2'!F111+1.5*'Q-2'!F129</f>
        <v>-280.28605000000005</v>
      </c>
      <c r="E21" s="21">
        <f>'G-1'!G102+1.35*'G-2'!G111+1.5*'Q-2'!G129</f>
        <v>0</v>
      </c>
      <c r="F21" s="21">
        <f>'G-1'!H102+1.35*'G-2'!H111+1.5*'Q-2'!H129</f>
        <v>0</v>
      </c>
      <c r="G21" s="21">
        <f>'G-1'!I102+1.35*'G-2'!I111+1.5*'Q-2'!I129</f>
        <v>0</v>
      </c>
      <c r="H21" s="21">
        <f>'G-1'!J102+1.35*'G-2'!J111+1.5*'Q-2'!J129</f>
        <v>-142.44367500000001</v>
      </c>
    </row>
    <row r="22" spans="1:8" ht="15.75" customHeight="1">
      <c r="A22" s="20" t="s">
        <v>26</v>
      </c>
      <c r="B22" s="21">
        <v>2.5</v>
      </c>
      <c r="C22" s="21">
        <f>'G-1'!E103+1.35*'G-2'!E112+1.5*'Q-2'!E130</f>
        <v>0</v>
      </c>
      <c r="D22" s="21">
        <f>'G-1'!F103+1.35*'G-2'!F112+1.5*'Q-2'!F130</f>
        <v>-195.72190000000001</v>
      </c>
      <c r="E22" s="21">
        <f>'G-1'!G103+1.35*'G-2'!G112+1.5*'Q-2'!G130</f>
        <v>0</v>
      </c>
      <c r="F22" s="21">
        <f>'G-1'!H103+1.35*'G-2'!H112+1.5*'Q-2'!H130</f>
        <v>0</v>
      </c>
      <c r="G22" s="21">
        <f>'G-1'!I103+1.35*'G-2'!I112+1.5*'Q-2'!I130</f>
        <v>0</v>
      </c>
      <c r="H22" s="21">
        <f>'G-1'!J103+1.35*'G-2'!J112+1.5*'Q-2'!J130</f>
        <v>97.049084999999991</v>
      </c>
    </row>
    <row r="23" spans="1:8" ht="15.75" customHeight="1">
      <c r="A23" s="20" t="s">
        <v>26</v>
      </c>
      <c r="B23" s="21">
        <v>3.75</v>
      </c>
      <c r="C23" s="21">
        <f>'G-1'!E104+1.35*'G-2'!E113+1.5*'Q-2'!E131</f>
        <v>0</v>
      </c>
      <c r="D23" s="21">
        <f>'G-1'!F104+1.35*'G-2'!F113+1.5*'Q-2'!F131</f>
        <v>-111.15924999999999</v>
      </c>
      <c r="E23" s="21">
        <f>'G-1'!G104+1.35*'G-2'!G113+1.5*'Q-2'!G131</f>
        <v>0</v>
      </c>
      <c r="F23" s="21">
        <f>'G-1'!H104+1.35*'G-2'!H113+1.5*'Q-2'!H131</f>
        <v>0</v>
      </c>
      <c r="G23" s="21">
        <f>'G-1'!I104+1.35*'G-2'!I113+1.5*'Q-2'!I131</f>
        <v>0</v>
      </c>
      <c r="H23" s="21">
        <f>'G-1'!J104+1.35*'G-2'!J113+1.5*'Q-2'!J131</f>
        <v>251.44872500000002</v>
      </c>
    </row>
    <row r="24" spans="1:8" ht="15.75" customHeight="1">
      <c r="A24" s="20" t="s">
        <v>26</v>
      </c>
      <c r="B24" s="21">
        <v>5</v>
      </c>
      <c r="C24" s="21">
        <f>'G-1'!E105+1.35*'G-2'!E114+1.5*'Q-2'!E132</f>
        <v>0</v>
      </c>
      <c r="D24" s="21">
        <f>'G-1'!F105+1.35*'G-2'!F114+1.5*'Q-2'!F132</f>
        <v>-26.595099999999999</v>
      </c>
      <c r="E24" s="21">
        <f>'G-1'!G105+1.35*'G-2'!G114+1.5*'Q-2'!G132</f>
        <v>0</v>
      </c>
      <c r="F24" s="21">
        <f>'G-1'!H105+1.35*'G-2'!H114+1.5*'Q-2'!H132</f>
        <v>0</v>
      </c>
      <c r="G24" s="21">
        <f>'G-1'!I105+1.35*'G-2'!I114+1.5*'Q-2'!I132</f>
        <v>0</v>
      </c>
      <c r="H24" s="21">
        <f>'G-1'!J105+1.35*'G-2'!J114+1.5*'Q-2'!J132</f>
        <v>320.75589500000001</v>
      </c>
    </row>
    <row r="25" spans="1:8" ht="15.75" customHeight="1">
      <c r="A25" s="20" t="s">
        <v>26</v>
      </c>
      <c r="B25" s="21">
        <v>6.25</v>
      </c>
      <c r="C25" s="21">
        <f>'G-1'!E106+1.35*'G-2'!E115+1.5*'Q-2'!E133</f>
        <v>0</v>
      </c>
      <c r="D25" s="21">
        <f>'G-1'!F106+1.35*'G-2'!F115+1.5*'Q-2'!F133</f>
        <v>57.970399999999998</v>
      </c>
      <c r="E25" s="21">
        <f>'G-1'!G106+1.35*'G-2'!G115+1.5*'Q-2'!G133</f>
        <v>0</v>
      </c>
      <c r="F25" s="21">
        <f>'G-1'!H106+1.35*'G-2'!H115+1.5*'Q-2'!H133</f>
        <v>0</v>
      </c>
      <c r="G25" s="21">
        <f>'G-1'!I106+1.35*'G-2'!I115+1.5*'Q-2'!I133</f>
        <v>0</v>
      </c>
      <c r="H25" s="21">
        <f>'G-1'!J106+1.35*'G-2'!J115+1.5*'Q-2'!J133</f>
        <v>304.97023000000002</v>
      </c>
    </row>
    <row r="26" spans="1:8" ht="15.75" customHeight="1">
      <c r="A26" s="20" t="s">
        <v>26</v>
      </c>
      <c r="B26" s="21">
        <v>7.5</v>
      </c>
      <c r="C26" s="21">
        <f>'G-1'!E107+1.35*'G-2'!E116+1.5*'Q-2'!E134</f>
        <v>0</v>
      </c>
      <c r="D26" s="21">
        <f>'G-1'!F107+1.35*'G-2'!F116+1.5*'Q-2'!F134</f>
        <v>142.53455000000002</v>
      </c>
      <c r="E26" s="21">
        <f>'G-1'!G107+1.35*'G-2'!G116+1.5*'Q-2'!G134</f>
        <v>0</v>
      </c>
      <c r="F26" s="21">
        <f>'G-1'!H107+1.35*'G-2'!H116+1.5*'Q-2'!H134</f>
        <v>0</v>
      </c>
      <c r="G26" s="21">
        <f>'G-1'!I107+1.35*'G-2'!I116+1.5*'Q-2'!I134</f>
        <v>0</v>
      </c>
      <c r="H26" s="21">
        <f>'G-1'!J107+1.35*'G-2'!J116+1.5*'Q-2'!J134</f>
        <v>204.09156000000002</v>
      </c>
    </row>
    <row r="27" spans="1:8" ht="15.75" customHeight="1">
      <c r="A27" s="20" t="s">
        <v>26</v>
      </c>
      <c r="B27" s="21">
        <v>8.75</v>
      </c>
      <c r="C27" s="21">
        <f>'G-1'!E108+1.35*'G-2'!E117+1.5*'Q-2'!E135</f>
        <v>0</v>
      </c>
      <c r="D27" s="21">
        <f>'G-1'!F108+1.35*'G-2'!F117+1.5*'Q-2'!F135</f>
        <v>227.09719999999999</v>
      </c>
      <c r="E27" s="21">
        <f>'G-1'!G108+1.35*'G-2'!G117+1.5*'Q-2'!G135</f>
        <v>0</v>
      </c>
      <c r="F27" s="21">
        <f>'G-1'!H108+1.35*'G-2'!H117+1.5*'Q-2'!H135</f>
        <v>0</v>
      </c>
      <c r="G27" s="21">
        <f>'G-1'!I108+1.35*'G-2'!I117+1.5*'Q-2'!I135</f>
        <v>0</v>
      </c>
      <c r="H27" s="21">
        <f>'G-1'!J108+1.35*'G-2'!J117+1.5*'Q-2'!J135</f>
        <v>18.120404999999998</v>
      </c>
    </row>
    <row r="28" spans="1:8" ht="15.75" customHeight="1">
      <c r="A28" s="20" t="s">
        <v>26</v>
      </c>
      <c r="B28" s="21">
        <v>10</v>
      </c>
      <c r="C28" s="21">
        <f>'G-1'!E109+1.35*'G-2'!E118+1.5*'Q-2'!E136</f>
        <v>0</v>
      </c>
      <c r="D28" s="21">
        <f>'G-1'!F109+1.35*'G-2'!F118+1.5*'Q-2'!F136</f>
        <v>311.66270000000003</v>
      </c>
      <c r="E28" s="21">
        <f>'G-1'!G109+1.35*'G-2'!G118+1.5*'Q-2'!G136</f>
        <v>0</v>
      </c>
      <c r="F28" s="21">
        <f>'G-1'!H109+1.35*'G-2'!H118+1.5*'Q-2'!H136</f>
        <v>0</v>
      </c>
      <c r="G28" s="21">
        <f>'G-1'!I109+1.35*'G-2'!I118+1.5*'Q-2'!I136</f>
        <v>0</v>
      </c>
      <c r="H28" s="21">
        <f>'G-1'!J109+1.35*'G-2'!J118+1.5*'Q-2'!J136</f>
        <v>-252.94356999999999</v>
      </c>
    </row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135"/>
  </sheetPr>
  <dimension ref="A1:H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8">
      <c r="A1" s="6" t="s">
        <v>0</v>
      </c>
      <c r="B1" s="6" t="s">
        <v>1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spans="1:8">
      <c r="A2" s="12" t="s">
        <v>12</v>
      </c>
      <c r="B2" s="13">
        <v>0</v>
      </c>
      <c r="C2" s="13">
        <f>'G-1'!E5+'G-2'!E8+0.3*('Q-1'!E11+'Q-2'!E14)+EX!E2</f>
        <v>-145.45310000000003</v>
      </c>
      <c r="D2" s="13">
        <f>'G-1'!F5+'G-2'!F8+0.3*('Q-1'!F11+'Q-2'!F14)+EX!F2</f>
        <v>3.258899999999997</v>
      </c>
      <c r="E2" s="13">
        <f>'G-1'!G5+'G-2'!G8+0.3*('Q-1'!G11+'Q-2'!G14)+EX!G2</f>
        <v>0</v>
      </c>
      <c r="F2" s="13">
        <f>'G-1'!H5+'G-2'!H8+0.3*('Q-1'!H11+'Q-2'!H14)+EX!H2</f>
        <v>0</v>
      </c>
      <c r="G2" s="13">
        <f>'G-1'!I5+'G-2'!I8+0.3*('Q-1'!I11+'Q-2'!I14)+EX!I2</f>
        <v>0</v>
      </c>
      <c r="H2" s="13">
        <f>'G-1'!J5+'G-2'!J8+0.3*('Q-1'!J11+'Q-2'!J14)+EX!J2</f>
        <v>63.133700000000005</v>
      </c>
    </row>
    <row r="3" spans="1:8">
      <c r="A3" s="12" t="s">
        <v>12</v>
      </c>
      <c r="B3" s="13">
        <v>3.25</v>
      </c>
      <c r="C3" s="13">
        <f>'G-1'!E6+'G-2'!E9+0.3*('Q-1'!E12+'Q-2'!E15)+EX!E3</f>
        <v>-145.45310000000003</v>
      </c>
      <c r="D3" s="13">
        <f>'G-1'!F6+'G-2'!F9+0.3*('Q-1'!F12+'Q-2'!F15)+EX!F3</f>
        <v>3.258899999999997</v>
      </c>
      <c r="E3" s="13">
        <f>'G-1'!G6+'G-2'!G9+0.3*('Q-1'!G12+'Q-2'!G15)+EX!G3</f>
        <v>0</v>
      </c>
      <c r="F3" s="13">
        <f>'G-1'!H6+'G-2'!H9+0.3*('Q-1'!H12+'Q-2'!H15)+EX!H3</f>
        <v>0</v>
      </c>
      <c r="G3" s="13">
        <f>'G-1'!I6+'G-2'!I9+0.3*('Q-1'!I12+'Q-2'!I15)+EX!I3</f>
        <v>0</v>
      </c>
      <c r="H3" s="13">
        <f>'G-1'!J6+'G-2'!J9+0.3*('Q-1'!J12+'Q-2'!J15)+EX!J3</f>
        <v>54.660740000000004</v>
      </c>
    </row>
    <row r="4" spans="1:8">
      <c r="A4" s="12" t="s">
        <v>12</v>
      </c>
      <c r="B4" s="13">
        <v>6.5</v>
      </c>
      <c r="C4" s="13">
        <f>'G-1'!E7+'G-2'!E10+0.3*('Q-1'!E13+'Q-2'!E16)+EX!E4</f>
        <v>-145.45310000000003</v>
      </c>
      <c r="D4" s="13">
        <f>'G-1'!F7+'G-2'!F10+0.3*('Q-1'!F13+'Q-2'!F16)+EX!F4</f>
        <v>3.258899999999997</v>
      </c>
      <c r="E4" s="13">
        <f>'G-1'!G7+'G-2'!G10+0.3*('Q-1'!G13+'Q-2'!G16)+EX!G4</f>
        <v>0</v>
      </c>
      <c r="F4" s="13">
        <f>'G-1'!H7+'G-2'!H10+0.3*('Q-1'!H13+'Q-2'!H16)+EX!H4</f>
        <v>0</v>
      </c>
      <c r="G4" s="13">
        <f>'G-1'!I7+'G-2'!I10+0.3*('Q-1'!I13+'Q-2'!I16)+EX!I4</f>
        <v>0</v>
      </c>
      <c r="H4" s="13">
        <f>'G-1'!J7+'G-2'!J10+0.3*('Q-1'!J13+'Q-2'!J16)+EX!J4</f>
        <v>46.187579999999997</v>
      </c>
    </row>
    <row r="5" spans="1:8">
      <c r="A5" s="14" t="s">
        <v>20</v>
      </c>
      <c r="B5" s="15">
        <v>0</v>
      </c>
      <c r="C5" s="15">
        <f>'G-1'!E20+'G-2'!E23+0.3*('Q-1'!E26+'Q-2'!E29)+EX!E17</f>
        <v>-411.13939999999997</v>
      </c>
      <c r="D5" s="15">
        <f>'G-1'!F20+'G-2'!F23+0.3*('Q-1'!F26+'Q-2'!F29)+EX!F17</f>
        <v>52.991999999999997</v>
      </c>
      <c r="E5" s="15">
        <f>'G-1'!G20+'G-2'!G23+0.3*('Q-1'!G26+'Q-2'!G29)+EX!G17</f>
        <v>0</v>
      </c>
      <c r="F5" s="15">
        <f>'G-1'!H20+'G-2'!H23+0.3*('Q-1'!H26+'Q-2'!H29)+EX!H17</f>
        <v>0</v>
      </c>
      <c r="G5" s="15">
        <f>'G-1'!I20+'G-2'!I23+0.3*('Q-1'!I26+'Q-2'!I29)+EX!I17</f>
        <v>0</v>
      </c>
      <c r="H5" s="15">
        <f>'G-1'!J20+'G-2'!J23+0.3*('Q-1'!J26+'Q-2'!J29)+EX!J17</f>
        <v>146.3998</v>
      </c>
    </row>
    <row r="6" spans="1:8">
      <c r="A6" s="14" t="s">
        <v>20</v>
      </c>
      <c r="B6" s="15">
        <v>3.25</v>
      </c>
      <c r="C6" s="15">
        <f>'G-1'!E21+'G-2'!E24+0.3*('Q-1'!E27+'Q-2'!E30)+EX!E18</f>
        <v>-411.13939999999997</v>
      </c>
      <c r="D6" s="15">
        <f>'G-1'!F21+'G-2'!F24+0.3*('Q-1'!F27+'Q-2'!F30)+EX!F18</f>
        <v>52.991999999999997</v>
      </c>
      <c r="E6" s="15">
        <f>'G-1'!G21+'G-2'!G24+0.3*('Q-1'!G27+'Q-2'!G30)+EX!G18</f>
        <v>0</v>
      </c>
      <c r="F6" s="15">
        <f>'G-1'!H21+'G-2'!H24+0.3*('Q-1'!H27+'Q-2'!H30)+EX!H18</f>
        <v>0</v>
      </c>
      <c r="G6" s="15">
        <f>'G-1'!I21+'G-2'!I24+0.3*('Q-1'!I27+'Q-2'!I30)+EX!I18</f>
        <v>0</v>
      </c>
      <c r="H6" s="15">
        <f>'G-1'!J21+'G-2'!J24+0.3*('Q-1'!J27+'Q-2'!J30)+EX!J18</f>
        <v>8.6204999999999998</v>
      </c>
    </row>
    <row r="7" spans="1:8">
      <c r="A7" s="14" t="s">
        <v>20</v>
      </c>
      <c r="B7" s="15">
        <v>6.5</v>
      </c>
      <c r="C7" s="15">
        <f>'G-1'!E22+'G-2'!E25+0.3*('Q-1'!E28+'Q-2'!E31)+EX!E19</f>
        <v>-411.13939999999997</v>
      </c>
      <c r="D7" s="15">
        <f>'G-1'!F22+'G-2'!F25+0.3*('Q-1'!F28+'Q-2'!F31)+EX!F19</f>
        <v>52.991999999999997</v>
      </c>
      <c r="E7" s="15">
        <f>'G-1'!G22+'G-2'!G25+0.3*('Q-1'!G28+'Q-2'!G31)+EX!G19</f>
        <v>0</v>
      </c>
      <c r="F7" s="15">
        <f>'G-1'!H22+'G-2'!H25+0.3*('Q-1'!H28+'Q-2'!H31)+EX!H19</f>
        <v>0</v>
      </c>
      <c r="G7" s="15">
        <f>'G-1'!I22+'G-2'!I25+0.3*('Q-1'!I28+'Q-2'!I31)+EX!I19</f>
        <v>0</v>
      </c>
      <c r="H7" s="15">
        <f>'G-1'!J22+'G-2'!J25+0.3*('Q-1'!J28+'Q-2'!J31)+EX!J19</f>
        <v>-129.15889999999999</v>
      </c>
    </row>
    <row r="8" spans="1:8">
      <c r="A8" s="16" t="s">
        <v>22</v>
      </c>
      <c r="B8" s="17">
        <v>0</v>
      </c>
      <c r="C8" s="17">
        <f>'G-1'!E35+'G-2'!E38+0.3*('Q-1'!E41+'Q-2'!E44)+EX!E32</f>
        <v>-182.84110000000001</v>
      </c>
      <c r="D8" s="17">
        <f>'G-1'!F35+'G-2'!F38+0.3*('Q-1'!F41+'Q-2'!F44)+EX!F32</f>
        <v>78.189099999999996</v>
      </c>
      <c r="E8" s="17">
        <f>'G-1'!G35+'G-2'!G38+0.3*('Q-1'!G41+'Q-2'!G44)+EX!G32</f>
        <v>0</v>
      </c>
      <c r="F8" s="17">
        <f>'G-1'!H35+'G-2'!H38+0.3*('Q-1'!H41+'Q-2'!H44)+EX!H32</f>
        <v>0</v>
      </c>
      <c r="G8" s="17">
        <f>'G-1'!I35+'G-2'!I38+0.3*('Q-1'!I41+'Q-2'!I44)+EX!I32</f>
        <v>0</v>
      </c>
      <c r="H8" s="17">
        <f>'G-1'!J35+'G-2'!J38+0.3*('Q-1'!J41+'Q-2'!J44)+EX!J32</f>
        <v>188.58609999999999</v>
      </c>
    </row>
    <row r="9" spans="1:8">
      <c r="A9" s="16" t="s">
        <v>22</v>
      </c>
      <c r="B9" s="17">
        <v>3.25</v>
      </c>
      <c r="C9" s="17">
        <f>'G-1'!E36+'G-2'!E39+0.3*('Q-1'!E42+'Q-2'!E45)+EX!E33</f>
        <v>-182.84110000000001</v>
      </c>
      <c r="D9" s="17">
        <f>'G-1'!F36+'G-2'!F39+0.3*('Q-1'!F42+'Q-2'!F45)+EX!F33</f>
        <v>78.189099999999996</v>
      </c>
      <c r="E9" s="17">
        <f>'G-1'!G36+'G-2'!G39+0.3*('Q-1'!G42+'Q-2'!G45)+EX!G33</f>
        <v>0</v>
      </c>
      <c r="F9" s="17">
        <f>'G-1'!H36+'G-2'!H39+0.3*('Q-1'!H42+'Q-2'!H45)+EX!H33</f>
        <v>0</v>
      </c>
      <c r="G9" s="17">
        <f>'G-1'!I36+'G-2'!I39+0.3*('Q-1'!I42+'Q-2'!I45)+EX!I33</f>
        <v>0</v>
      </c>
      <c r="H9" s="17">
        <f>'G-1'!J36+'G-2'!J39+0.3*('Q-1'!J42+'Q-2'!J45)+EX!J33</f>
        <v>-14.705540000000003</v>
      </c>
    </row>
    <row r="10" spans="1:8">
      <c r="A10" s="16" t="s">
        <v>22</v>
      </c>
      <c r="B10" s="17">
        <v>6.5</v>
      </c>
      <c r="C10" s="17">
        <f>'G-1'!E37+'G-2'!E40+0.3*('Q-1'!E43+'Q-2'!E46)+EX!E34</f>
        <v>-182.84110000000001</v>
      </c>
      <c r="D10" s="17">
        <f>'G-1'!F37+'G-2'!F40+0.3*('Q-1'!F43+'Q-2'!F46)+EX!F34</f>
        <v>78.189099999999996</v>
      </c>
      <c r="E10" s="17">
        <f>'G-1'!G37+'G-2'!G40+0.3*('Q-1'!G43+'Q-2'!G46)+EX!G34</f>
        <v>0</v>
      </c>
      <c r="F10" s="17">
        <f>'G-1'!H37+'G-2'!H40+0.3*('Q-1'!H43+'Q-2'!H46)+EX!H34</f>
        <v>0</v>
      </c>
      <c r="G10" s="17">
        <f>'G-1'!I37+'G-2'!I40+0.3*('Q-1'!I43+'Q-2'!I46)+EX!I34</f>
        <v>0</v>
      </c>
      <c r="H10" s="17">
        <f>'G-1'!J37+'G-2'!J40+0.3*('Q-1'!J43+'Q-2'!J46)+EX!J34</f>
        <v>-217.99717999999999</v>
      </c>
    </row>
    <row r="11" spans="1:8">
      <c r="A11" s="18" t="s">
        <v>24</v>
      </c>
      <c r="B11" s="19">
        <v>0</v>
      </c>
      <c r="C11" s="19">
        <f>'G-1'!E56+'G-2'!E65+0.3*('Q-1'!E74+'Q-2'!E83)+EX!E47</f>
        <v>0</v>
      </c>
      <c r="D11" s="19">
        <f>'G-1'!F56+'G-2'!F65+0.3*('Q-1'!F74+'Q-2'!F83)+EX!F47</f>
        <v>-145.45310000000003</v>
      </c>
      <c r="E11" s="19">
        <f>'G-1'!G56+'G-2'!G65+0.3*('Q-1'!G74+'Q-2'!G83)+EX!G47</f>
        <v>0</v>
      </c>
      <c r="F11" s="19">
        <f>'G-1'!H56+'G-2'!H65+0.3*('Q-1'!H74+'Q-2'!H83)+EX!H47</f>
        <v>0</v>
      </c>
      <c r="G11" s="19">
        <f>'G-1'!I56+'G-2'!I65+0.3*('Q-1'!I74+'Q-2'!I83)+EX!I47</f>
        <v>0</v>
      </c>
      <c r="H11" s="19">
        <f>'G-1'!J56+'G-2'!J65+0.3*('Q-1'!J74+'Q-2'!J83)+EX!J47</f>
        <v>-46.187579999999997</v>
      </c>
    </row>
    <row r="12" spans="1:8">
      <c r="A12" s="18" t="s">
        <v>24</v>
      </c>
      <c r="B12" s="19">
        <v>1.25</v>
      </c>
      <c r="C12" s="19">
        <f>'G-1'!E57+'G-2'!E66+0.3*('Q-1'!E75+'Q-2'!E84)+EX!E48</f>
        <v>0</v>
      </c>
      <c r="D12" s="19">
        <f>'G-1'!F57+'G-2'!F66+0.3*('Q-1'!F75+'Q-2'!F84)+EX!F48</f>
        <v>-99.237800000000007</v>
      </c>
      <c r="E12" s="19">
        <f>'G-1'!G57+'G-2'!G66+0.3*('Q-1'!G75+'Q-2'!G84)+EX!G48</f>
        <v>0</v>
      </c>
      <c r="F12" s="19">
        <f>'G-1'!H57+'G-2'!H66+0.3*('Q-1'!H75+'Q-2'!H84)+EX!H48</f>
        <v>0</v>
      </c>
      <c r="G12" s="19">
        <f>'G-1'!I57+'G-2'!I66+0.3*('Q-1'!I75+'Q-2'!I84)+EX!I48</f>
        <v>0</v>
      </c>
      <c r="H12" s="19">
        <f>'G-1'!J57+'G-2'!J66+0.3*('Q-1'!J75+'Q-2'!J84)+EX!J48</f>
        <v>76.922840000000008</v>
      </c>
    </row>
    <row r="13" spans="1:8">
      <c r="A13" s="18" t="s">
        <v>24</v>
      </c>
      <c r="B13" s="19">
        <v>2.5</v>
      </c>
      <c r="C13" s="19">
        <f>'G-1'!E58+'G-2'!E67+0.3*('Q-1'!E76+'Q-2'!E85)+EX!E49</f>
        <v>0</v>
      </c>
      <c r="D13" s="19">
        <f>'G-1'!F58+'G-2'!F67+0.3*('Q-1'!F76+'Q-2'!F85)+EX!F49</f>
        <v>-53.023799999999994</v>
      </c>
      <c r="E13" s="19">
        <f>'G-1'!G58+'G-2'!G67+0.3*('Q-1'!G76+'Q-2'!G85)+EX!G49</f>
        <v>0</v>
      </c>
      <c r="F13" s="19">
        <f>'G-1'!H58+'G-2'!H67+0.3*('Q-1'!H76+'Q-2'!H85)+EX!H49</f>
        <v>0</v>
      </c>
      <c r="G13" s="19">
        <f>'G-1'!I58+'G-2'!I67+0.3*('Q-1'!I76+'Q-2'!I85)+EX!I49</f>
        <v>0</v>
      </c>
      <c r="H13" s="19">
        <f>'G-1'!J58+'G-2'!J67+0.3*('Q-1'!J76+'Q-2'!J85)+EX!J49</f>
        <v>153.52986999999999</v>
      </c>
    </row>
    <row r="14" spans="1:8">
      <c r="A14" s="18" t="s">
        <v>24</v>
      </c>
      <c r="B14" s="19">
        <v>3.75</v>
      </c>
      <c r="C14" s="19">
        <f>'G-1'!E59+'G-2'!E68+0.3*('Q-1'!E77+'Q-2'!E86)+EX!E50</f>
        <v>0</v>
      </c>
      <c r="D14" s="19">
        <f>'G-1'!F59+'G-2'!F68+0.3*('Q-1'!F77+'Q-2'!F86)+EX!F50</f>
        <v>-6.8094999999999963</v>
      </c>
      <c r="E14" s="19">
        <f>'G-1'!G59+'G-2'!G68+0.3*('Q-1'!G77+'Q-2'!G86)+EX!G50</f>
        <v>0</v>
      </c>
      <c r="F14" s="19">
        <f>'G-1'!H59+'G-2'!H68+0.3*('Q-1'!H77+'Q-2'!H86)+EX!H50</f>
        <v>0</v>
      </c>
      <c r="G14" s="19">
        <f>'G-1'!I59+'G-2'!I68+0.3*('Q-1'!I77+'Q-2'!I86)+EX!I50</f>
        <v>0</v>
      </c>
      <c r="H14" s="19">
        <f>'G-1'!J59+'G-2'!J68+0.3*('Q-1'!J77+'Q-2'!J86)+EX!J50</f>
        <v>183.63370999999998</v>
      </c>
    </row>
    <row r="15" spans="1:8">
      <c r="A15" s="18" t="s">
        <v>24</v>
      </c>
      <c r="B15" s="19">
        <v>5</v>
      </c>
      <c r="C15" s="19">
        <f>'G-1'!E60+'G-2'!E69+0.3*('Q-1'!E78+'Q-2'!E87)+EX!E51</f>
        <v>0</v>
      </c>
      <c r="D15" s="19">
        <f>'G-1'!F60+'G-2'!F69+0.3*('Q-1'!F78+'Q-2'!F87)+EX!F51</f>
        <v>39.405799999999999</v>
      </c>
      <c r="E15" s="19">
        <f>'G-1'!G60+'G-2'!G69+0.3*('Q-1'!G78+'Q-2'!G87)+EX!G51</f>
        <v>0</v>
      </c>
      <c r="F15" s="19">
        <f>'G-1'!H60+'G-2'!H69+0.3*('Q-1'!H78+'Q-2'!H87)+EX!H51</f>
        <v>0</v>
      </c>
      <c r="G15" s="19">
        <f>'G-1'!I60+'G-2'!I69+0.3*('Q-1'!I78+'Q-2'!I87)+EX!I51</f>
        <v>0</v>
      </c>
      <c r="H15" s="19">
        <f>'G-1'!J60+'G-2'!J69+0.3*('Q-1'!J78+'Q-2'!J87)+EX!J51</f>
        <v>167.23392999999999</v>
      </c>
    </row>
    <row r="16" spans="1:8">
      <c r="A16" s="18" t="s">
        <v>24</v>
      </c>
      <c r="B16" s="19">
        <v>6.25</v>
      </c>
      <c r="C16" s="19">
        <f>'G-1'!E61+'G-2'!E70+0.3*('Q-1'!E79+'Q-2'!E88)+EX!E52</f>
        <v>0</v>
      </c>
      <c r="D16" s="19">
        <f>'G-1'!F61+'G-2'!F70+0.3*('Q-1'!F79+'Q-2'!F88)+EX!F52</f>
        <v>85.620100000000008</v>
      </c>
      <c r="E16" s="19">
        <f>'G-1'!G61+'G-2'!G70+0.3*('Q-1'!G79+'Q-2'!G88)+EX!G52</f>
        <v>0</v>
      </c>
      <c r="F16" s="19">
        <f>'G-1'!H61+'G-2'!H70+0.3*('Q-1'!H79+'Q-2'!H88)+EX!H52</f>
        <v>0</v>
      </c>
      <c r="G16" s="19">
        <f>'G-1'!I61+'G-2'!I70+0.3*('Q-1'!I79+'Q-2'!I88)+EX!I52</f>
        <v>0</v>
      </c>
      <c r="H16" s="19">
        <f>'G-1'!J61+'G-2'!J70+0.3*('Q-1'!J79+'Q-2'!J88)+EX!J52</f>
        <v>104.33082999999999</v>
      </c>
    </row>
    <row r="17" spans="1:8">
      <c r="A17" s="18" t="s">
        <v>24</v>
      </c>
      <c r="B17" s="19">
        <v>7.5</v>
      </c>
      <c r="C17" s="19">
        <f>'G-1'!E62+'G-2'!E71+0.3*('Q-1'!E80+'Q-2'!E89)+EX!E53</f>
        <v>0</v>
      </c>
      <c r="D17" s="19">
        <f>'G-1'!F62+'G-2'!F71+0.3*('Q-1'!F80+'Q-2'!F89)+EX!F53</f>
        <v>131.83409999999998</v>
      </c>
      <c r="E17" s="19">
        <f>'G-1'!G62+'G-2'!G71+0.3*('Q-1'!G80+'Q-2'!G89)+EX!G53</f>
        <v>0</v>
      </c>
      <c r="F17" s="19">
        <f>'G-1'!H62+'G-2'!H71+0.3*('Q-1'!H80+'Q-2'!H89)+EX!H53</f>
        <v>0</v>
      </c>
      <c r="G17" s="19">
        <f>'G-1'!I62+'G-2'!I71+0.3*('Q-1'!I80+'Q-2'!I89)+EX!I53</f>
        <v>0</v>
      </c>
      <c r="H17" s="19">
        <f>'G-1'!J62+'G-2'!J71+0.3*('Q-1'!J80+'Q-2'!J89)+EX!J53</f>
        <v>-5.0755300000000005</v>
      </c>
    </row>
    <row r="18" spans="1:8">
      <c r="A18" s="18" t="s">
        <v>24</v>
      </c>
      <c r="B18" s="19">
        <v>8.75</v>
      </c>
      <c r="C18" s="19">
        <f>'G-1'!E63+'G-2'!E72+0.3*('Q-1'!E81+'Q-2'!E90)+EX!E54</f>
        <v>0</v>
      </c>
      <c r="D18" s="19">
        <f>'G-1'!F63+'G-2'!F72+0.3*('Q-1'!F81+'Q-2'!F90)+EX!F54</f>
        <v>178.04839999999999</v>
      </c>
      <c r="E18" s="19">
        <f>'G-1'!G63+'G-2'!G72+0.3*('Q-1'!G81+'Q-2'!G90)+EX!G54</f>
        <v>0</v>
      </c>
      <c r="F18" s="19">
        <f>'G-1'!H63+'G-2'!H72+0.3*('Q-1'!H81+'Q-2'!H90)+EX!H54</f>
        <v>0</v>
      </c>
      <c r="G18" s="19">
        <f>'G-1'!I63+'G-2'!I72+0.3*('Q-1'!I81+'Q-2'!I90)+EX!I54</f>
        <v>0</v>
      </c>
      <c r="H18" s="19">
        <f>'G-1'!J63+'G-2'!J72+0.3*('Q-1'!J81+'Q-2'!J90)+EX!J54</f>
        <v>-160.98543999999998</v>
      </c>
    </row>
    <row r="19" spans="1:8">
      <c r="A19" s="18" t="s">
        <v>24</v>
      </c>
      <c r="B19" s="19">
        <v>10</v>
      </c>
      <c r="C19" s="19">
        <f>'G-1'!E64+'G-2'!E73+0.3*('Q-1'!E82+'Q-2'!E91)+EX!E55</f>
        <v>0</v>
      </c>
      <c r="D19" s="19">
        <f>'G-1'!F64+'G-2'!F73+0.3*('Q-1'!F82+'Q-2'!F91)+EX!F55</f>
        <v>224.26369999999997</v>
      </c>
      <c r="E19" s="19">
        <f>'G-1'!G64+'G-2'!G73+0.3*('Q-1'!G82+'Q-2'!G91)+EX!G55</f>
        <v>0</v>
      </c>
      <c r="F19" s="19">
        <f>'G-1'!H64+'G-2'!H73+0.3*('Q-1'!H82+'Q-2'!H91)+EX!H55</f>
        <v>0</v>
      </c>
      <c r="G19" s="19">
        <f>'G-1'!I64+'G-2'!I73+0.3*('Q-1'!I82+'Q-2'!I91)+EX!I55</f>
        <v>0</v>
      </c>
      <c r="H19" s="19">
        <f>'G-1'!J64+'G-2'!J73+0.3*('Q-1'!J82+'Q-2'!J91)+EX!J55</f>
        <v>-363.39864</v>
      </c>
    </row>
    <row r="20" spans="1:8">
      <c r="A20" s="20" t="s">
        <v>26</v>
      </c>
      <c r="B20" s="21">
        <v>0</v>
      </c>
      <c r="C20" s="21">
        <f>'G-1'!E101+'G-2'!E110+0.3*('Q-1'!E119+'Q-2'!E128)+EX!E92</f>
        <v>0</v>
      </c>
      <c r="D20" s="21">
        <f>'G-1'!F101+'G-2'!F110+0.3*('Q-1'!F119+'Q-2'!F128)+EX!F92</f>
        <v>-186.87569999999999</v>
      </c>
      <c r="E20" s="21">
        <f>'G-1'!G101+'G-2'!G110+0.3*('Q-1'!G119+'Q-2'!G128)+EX!G92</f>
        <v>0</v>
      </c>
      <c r="F20" s="21">
        <f>'G-1'!H101+'G-2'!H110+0.3*('Q-1'!H119+'Q-2'!H128)+EX!H92</f>
        <v>0</v>
      </c>
      <c r="G20" s="21">
        <f>'G-1'!I101+'G-2'!I110+0.3*('Q-1'!I119+'Q-2'!I128)+EX!I92</f>
        <v>0</v>
      </c>
      <c r="H20" s="21">
        <f>'G-1'!J101+'G-2'!J110+0.3*('Q-1'!J119+'Q-2'!J128)+EX!J92</f>
        <v>-234.23964000000001</v>
      </c>
    </row>
    <row r="21" spans="1:8" ht="15.75" customHeight="1">
      <c r="A21" s="20" t="s">
        <v>26</v>
      </c>
      <c r="B21" s="21">
        <v>1.25</v>
      </c>
      <c r="C21" s="21">
        <f>'G-1'!E102+'G-2'!E111+0.3*('Q-1'!E120+'Q-2'!E129)+EX!E93</f>
        <v>0</v>
      </c>
      <c r="D21" s="21">
        <f>'G-1'!F102+'G-2'!F111+0.3*('Q-1'!F120+'Q-2'!F129)+EX!F93</f>
        <v>-140.66040000000001</v>
      </c>
      <c r="E21" s="21">
        <f>'G-1'!G102+'G-2'!G111+0.3*('Q-1'!G120+'Q-2'!G129)+EX!G93</f>
        <v>0</v>
      </c>
      <c r="F21" s="21">
        <f>'G-1'!H102+'G-2'!H111+0.3*('Q-1'!H120+'Q-2'!H129)+EX!H93</f>
        <v>0</v>
      </c>
      <c r="G21" s="21">
        <f>'G-1'!I102+'G-2'!I111+0.3*('Q-1'!I120+'Q-2'!I129)+EX!I93</f>
        <v>0</v>
      </c>
      <c r="H21" s="21">
        <f>'G-1'!J102+'G-2'!J111+0.3*('Q-1'!J120+'Q-2'!J129)+EX!J93</f>
        <v>-69.447639999999993</v>
      </c>
    </row>
    <row r="22" spans="1:8" ht="15.75" customHeight="1">
      <c r="A22" s="20" t="s">
        <v>26</v>
      </c>
      <c r="B22" s="21">
        <v>2.5</v>
      </c>
      <c r="C22" s="21">
        <f>'G-1'!E103+'G-2'!E112+0.3*('Q-1'!E121+'Q-2'!E130)+EX!E94</f>
        <v>0</v>
      </c>
      <c r="D22" s="21">
        <f>'G-1'!F103+'G-2'!F112+0.3*('Q-1'!F121+'Q-2'!F130)+EX!F94</f>
        <v>-94.446099999999987</v>
      </c>
      <c r="E22" s="21">
        <f>'G-1'!G103+'G-2'!G112+0.3*('Q-1'!G121+'Q-2'!G130)+EX!G94</f>
        <v>0</v>
      </c>
      <c r="F22" s="21">
        <f>'G-1'!H103+'G-2'!H112+0.3*('Q-1'!H121+'Q-2'!H130)+EX!H94</f>
        <v>0</v>
      </c>
      <c r="G22" s="21">
        <f>'G-1'!I103+'G-2'!I112+0.3*('Q-1'!I121+'Q-2'!I130)+EX!I94</f>
        <v>0</v>
      </c>
      <c r="H22" s="21">
        <f>'G-1'!J103+'G-2'!J112+0.3*('Q-1'!J121+'Q-2'!J130)+EX!J94</f>
        <v>48.841270000000002</v>
      </c>
    </row>
    <row r="23" spans="1:8" ht="15.75" customHeight="1">
      <c r="A23" s="20" t="s">
        <v>26</v>
      </c>
      <c r="B23" s="21">
        <v>3.75</v>
      </c>
      <c r="C23" s="21">
        <f>'G-1'!E104+'G-2'!E113+0.3*('Q-1'!E122+'Q-2'!E131)+EX!E95</f>
        <v>0</v>
      </c>
      <c r="D23" s="21">
        <f>'G-1'!F104+'G-2'!F113+0.3*('Q-1'!F122+'Q-2'!F131)+EX!F95</f>
        <v>-48.232100000000003</v>
      </c>
      <c r="E23" s="21">
        <f>'G-1'!G104+'G-2'!G113+0.3*('Q-1'!G122+'Q-2'!G131)+EX!G95</f>
        <v>0</v>
      </c>
      <c r="F23" s="21">
        <f>'G-1'!H104+'G-2'!H113+0.3*('Q-1'!H122+'Q-2'!H131)+EX!H95</f>
        <v>0</v>
      </c>
      <c r="G23" s="21">
        <f>'G-1'!I104+'G-2'!I113+0.3*('Q-1'!I122+'Q-2'!I131)+EX!I95</f>
        <v>0</v>
      </c>
      <c r="H23" s="21">
        <f>'G-1'!J104+'G-2'!J113+0.3*('Q-1'!J122+'Q-2'!J131)+EX!J95</f>
        <v>120.62663000000001</v>
      </c>
    </row>
    <row r="24" spans="1:8" ht="15.75" customHeight="1">
      <c r="A24" s="20" t="s">
        <v>26</v>
      </c>
      <c r="B24" s="21">
        <v>5</v>
      </c>
      <c r="C24" s="21">
        <f>'G-1'!E105+'G-2'!E114+0.3*('Q-1'!E123+'Q-2'!E132)+EX!E96</f>
        <v>0</v>
      </c>
      <c r="D24" s="21">
        <f>'G-1'!F105+'G-2'!F114+0.3*('Q-1'!F123+'Q-2'!F132)+EX!F96</f>
        <v>-2.0177999999999976</v>
      </c>
      <c r="E24" s="21">
        <f>'G-1'!G105+'G-2'!G114+0.3*('Q-1'!G123+'Q-2'!G132)+EX!G96</f>
        <v>0</v>
      </c>
      <c r="F24" s="21">
        <f>'G-1'!H105+'G-2'!H114+0.3*('Q-1'!H123+'Q-2'!H132)+EX!H96</f>
        <v>0</v>
      </c>
      <c r="G24" s="21">
        <f>'G-1'!I105+'G-2'!I114+0.3*('Q-1'!I123+'Q-2'!I132)+EX!I96</f>
        <v>0</v>
      </c>
      <c r="H24" s="21">
        <f>'G-1'!J105+'G-2'!J114+0.3*('Q-1'!J123+'Q-2'!J132)+EX!J96</f>
        <v>145.90872999999999</v>
      </c>
    </row>
    <row r="25" spans="1:8" ht="15.75" customHeight="1">
      <c r="A25" s="20" t="s">
        <v>26</v>
      </c>
      <c r="B25" s="21">
        <v>6.25</v>
      </c>
      <c r="C25" s="21">
        <f>'G-1'!E106+'G-2'!E115+0.3*('Q-1'!E124+'Q-2'!E133)+EX!E97</f>
        <v>0</v>
      </c>
      <c r="D25" s="21">
        <f>'G-1'!F106+'G-2'!F115+0.3*('Q-1'!F124+'Q-2'!F133)+EX!F97</f>
        <v>44.197499999999991</v>
      </c>
      <c r="E25" s="21">
        <f>'G-1'!G106+'G-2'!G115+0.3*('Q-1'!G124+'Q-2'!G133)+EX!G97</f>
        <v>0</v>
      </c>
      <c r="F25" s="21">
        <f>'G-1'!H106+'G-2'!H115+0.3*('Q-1'!H124+'Q-2'!H133)+EX!H97</f>
        <v>0</v>
      </c>
      <c r="G25" s="21">
        <f>'G-1'!I106+'G-2'!I115+0.3*('Q-1'!I124+'Q-2'!I133)+EX!I97</f>
        <v>0</v>
      </c>
      <c r="H25" s="21">
        <f>'G-1'!J106+'G-2'!J115+0.3*('Q-1'!J124+'Q-2'!J133)+EX!J97</f>
        <v>124.68731</v>
      </c>
    </row>
    <row r="26" spans="1:8" ht="15.75" customHeight="1">
      <c r="A26" s="20" t="s">
        <v>26</v>
      </c>
      <c r="B26" s="21">
        <v>7.5</v>
      </c>
      <c r="C26" s="21">
        <f>'G-1'!E107+'G-2'!E116+0.3*('Q-1'!E125+'Q-2'!E134)+EX!E98</f>
        <v>0</v>
      </c>
      <c r="D26" s="21">
        <f>'G-1'!F107+'G-2'!F116+0.3*('Q-1'!F125+'Q-2'!F134)+EX!F98</f>
        <v>90.411799999999999</v>
      </c>
      <c r="E26" s="21">
        <f>'G-1'!G107+'G-2'!G116+0.3*('Q-1'!G125+'Q-2'!G134)+EX!G98</f>
        <v>0</v>
      </c>
      <c r="F26" s="21">
        <f>'G-1'!H107+'G-2'!H116+0.3*('Q-1'!H125+'Q-2'!H134)+EX!H98</f>
        <v>0</v>
      </c>
      <c r="G26" s="21">
        <f>'G-1'!I107+'G-2'!I116+0.3*('Q-1'!I125+'Q-2'!I134)+EX!I98</f>
        <v>0</v>
      </c>
      <c r="H26" s="21">
        <f>'G-1'!J107+'G-2'!J116+0.3*('Q-1'!J125+'Q-2'!J134)+EX!J98</f>
        <v>56.962469999999989</v>
      </c>
    </row>
    <row r="27" spans="1:8" ht="15.75" customHeight="1">
      <c r="A27" s="20" t="s">
        <v>26</v>
      </c>
      <c r="B27" s="21">
        <v>8.75</v>
      </c>
      <c r="C27" s="21">
        <f>'G-1'!E108+'G-2'!E117+0.3*('Q-1'!E126+'Q-2'!E135)+EX!E99</f>
        <v>0</v>
      </c>
      <c r="D27" s="21">
        <f>'G-1'!F108+'G-2'!F117+0.3*('Q-1'!F126+'Q-2'!F135)+EX!F99</f>
        <v>136.6258</v>
      </c>
      <c r="E27" s="21">
        <f>'G-1'!G108+'G-2'!G117+0.3*('Q-1'!G126+'Q-2'!G135)+EX!G99</f>
        <v>0</v>
      </c>
      <c r="F27" s="21">
        <f>'G-1'!H108+'G-2'!H117+0.3*('Q-1'!H126+'Q-2'!H135)+EX!H99</f>
        <v>0</v>
      </c>
      <c r="G27" s="21">
        <f>'G-1'!I108+'G-2'!I117+0.3*('Q-1'!I126+'Q-2'!I135)+EX!I99</f>
        <v>0</v>
      </c>
      <c r="H27" s="21">
        <f>'G-1'!J108+'G-2'!J117+0.3*('Q-1'!J126+'Q-2'!J135)+EX!J99</f>
        <v>-57.265560000000001</v>
      </c>
    </row>
    <row r="28" spans="1:8" ht="15.75" customHeight="1">
      <c r="A28" s="20" t="s">
        <v>26</v>
      </c>
      <c r="B28" s="21">
        <v>10</v>
      </c>
      <c r="C28" s="21">
        <f>'G-1'!E109+'G-2'!E118+0.3*('Q-1'!E127+'Q-2'!E136)+EX!E100</f>
        <v>0</v>
      </c>
      <c r="D28" s="21">
        <f>'G-1'!F109+'G-2'!F118+0.3*('Q-1'!F127+'Q-2'!F136)+EX!F100</f>
        <v>182.84110000000001</v>
      </c>
      <c r="E28" s="21">
        <f>'G-1'!G109+'G-2'!G118+0.3*('Q-1'!G127+'Q-2'!G136)+EX!G100</f>
        <v>0</v>
      </c>
      <c r="F28" s="21">
        <f>'G-1'!H109+'G-2'!H118+0.3*('Q-1'!H127+'Q-2'!H136)+EX!H100</f>
        <v>0</v>
      </c>
      <c r="G28" s="21">
        <f>'G-1'!I109+'G-2'!I118+0.3*('Q-1'!I127+'Q-2'!I136)+EX!I100</f>
        <v>0</v>
      </c>
      <c r="H28" s="21">
        <f>'G-1'!J109+'G-2'!J118+0.3*('Q-1'!J127+'Q-2'!J136)+EX!J100</f>
        <v>-217.99717999999999</v>
      </c>
    </row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48135"/>
  </sheetPr>
  <dimension ref="A1:H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8">
      <c r="A1" s="6" t="s">
        <v>0</v>
      </c>
      <c r="B1" s="6" t="s">
        <v>1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</row>
    <row r="2" spans="1:8">
      <c r="A2" s="12" t="s">
        <v>12</v>
      </c>
      <c r="B2" s="13">
        <v>0</v>
      </c>
      <c r="C2" s="13">
        <f>'G-1'!E5+'G-2'!E8+0.3*('Q-1'!E11+'Q-2'!E14)-EX!E2</f>
        <v>-182.84110000000001</v>
      </c>
      <c r="D2" s="13">
        <f>'G-1'!F5+'G-2'!F8+0.3*('Q-1'!F11+'Q-2'!F14)-EX!F2</f>
        <v>-78.189099999999996</v>
      </c>
      <c r="E2" s="13">
        <f>'G-1'!G5+'G-2'!G8+0.3*('Q-1'!G11+'Q-2'!G14)-EX!G2</f>
        <v>0</v>
      </c>
      <c r="F2" s="13">
        <f>'G-1'!H5+'G-2'!H8+0.3*('Q-1'!H11+'Q-2'!H14)-EX!H2</f>
        <v>0</v>
      </c>
      <c r="G2" s="13">
        <f>'G-1'!I5+'G-2'!I8+0.3*('Q-1'!I11+'Q-2'!I14)-EX!I2</f>
        <v>0</v>
      </c>
      <c r="H2" s="13">
        <f>'G-1'!J5+'G-2'!J8+0.3*('Q-1'!J11+'Q-2'!J14)-EX!J2</f>
        <v>-188.58609999999999</v>
      </c>
    </row>
    <row r="3" spans="1:8">
      <c r="A3" s="12" t="s">
        <v>12</v>
      </c>
      <c r="B3" s="13">
        <v>3.25</v>
      </c>
      <c r="C3" s="13">
        <f>'G-1'!E6+'G-2'!E9+0.3*('Q-1'!E12+'Q-2'!E15)-EX!E3</f>
        <v>-182.84110000000001</v>
      </c>
      <c r="D3" s="13">
        <f>'G-1'!F6+'G-2'!F9+0.3*('Q-1'!F12+'Q-2'!F15)-EX!F3</f>
        <v>-78.189099999999996</v>
      </c>
      <c r="E3" s="13">
        <f>'G-1'!G6+'G-2'!G9+0.3*('Q-1'!G12+'Q-2'!G15)-EX!G3</f>
        <v>0</v>
      </c>
      <c r="F3" s="13">
        <f>'G-1'!H6+'G-2'!H9+0.3*('Q-1'!H12+'Q-2'!H15)-EX!H3</f>
        <v>0</v>
      </c>
      <c r="G3" s="13">
        <f>'G-1'!I6+'G-2'!I9+0.3*('Q-1'!I12+'Q-2'!I15)-EX!I3</f>
        <v>0</v>
      </c>
      <c r="H3" s="13">
        <f>'G-1'!J6+'G-2'!J9+0.3*('Q-1'!J12+'Q-2'!J15)-EX!J3</f>
        <v>14.705540000000003</v>
      </c>
    </row>
    <row r="4" spans="1:8">
      <c r="A4" s="12" t="s">
        <v>12</v>
      </c>
      <c r="B4" s="13">
        <v>6.5</v>
      </c>
      <c r="C4" s="13">
        <f>'G-1'!E7+'G-2'!E10+0.3*('Q-1'!E13+'Q-2'!E16)-EX!E4</f>
        <v>-182.84110000000001</v>
      </c>
      <c r="D4" s="13">
        <f>'G-1'!F7+'G-2'!F10+0.3*('Q-1'!F13+'Q-2'!F16)-EX!F4</f>
        <v>-78.189099999999996</v>
      </c>
      <c r="E4" s="13">
        <f>'G-1'!G7+'G-2'!G10+0.3*('Q-1'!G13+'Q-2'!G16)-EX!G4</f>
        <v>0</v>
      </c>
      <c r="F4" s="13">
        <f>'G-1'!H7+'G-2'!H10+0.3*('Q-1'!H13+'Q-2'!H16)-EX!H4</f>
        <v>0</v>
      </c>
      <c r="G4" s="13">
        <f>'G-1'!I7+'G-2'!I10+0.3*('Q-1'!I13+'Q-2'!I16)-EX!I4</f>
        <v>0</v>
      </c>
      <c r="H4" s="13">
        <f>'G-1'!J7+'G-2'!J10+0.3*('Q-1'!J13+'Q-2'!J16)-EX!J4</f>
        <v>217.99717999999999</v>
      </c>
    </row>
    <row r="5" spans="1:8">
      <c r="A5" s="14" t="s">
        <v>20</v>
      </c>
      <c r="B5" s="15">
        <v>0</v>
      </c>
      <c r="C5" s="15">
        <f>'G-1'!E20+'G-2'!E23+0.3*('Q-1'!E26+'Q-2'!E29)-EX!E17</f>
        <v>-411.13939999999997</v>
      </c>
      <c r="D5" s="15">
        <f>'G-1'!F20+'G-2'!F23+0.3*('Q-1'!F26+'Q-2'!F29)-EX!F17</f>
        <v>-52.991999999999997</v>
      </c>
      <c r="E5" s="15">
        <f>'G-1'!G20+'G-2'!G23+0.3*('Q-1'!G26+'Q-2'!G29)-EX!G17</f>
        <v>0</v>
      </c>
      <c r="F5" s="15">
        <f>'G-1'!H20+'G-2'!H23+0.3*('Q-1'!H26+'Q-2'!H29)-EX!H17</f>
        <v>0</v>
      </c>
      <c r="G5" s="15">
        <f>'G-1'!I20+'G-2'!I23+0.3*('Q-1'!I26+'Q-2'!I29)-EX!I17</f>
        <v>0</v>
      </c>
      <c r="H5" s="15">
        <f>'G-1'!J20+'G-2'!J23+0.3*('Q-1'!J26+'Q-2'!J29)-EX!J17</f>
        <v>-146.3998</v>
      </c>
    </row>
    <row r="6" spans="1:8">
      <c r="A6" s="14" t="s">
        <v>20</v>
      </c>
      <c r="B6" s="15">
        <v>3.25</v>
      </c>
      <c r="C6" s="15">
        <f>'G-1'!E21+'G-2'!E24+0.3*('Q-1'!E27+'Q-2'!E30)-EX!E18</f>
        <v>-411.13939999999997</v>
      </c>
      <c r="D6" s="15">
        <f>'G-1'!F21+'G-2'!F24+0.3*('Q-1'!F27+'Q-2'!F30)-EX!F18</f>
        <v>-52.991999999999997</v>
      </c>
      <c r="E6" s="15">
        <f>'G-1'!G21+'G-2'!G24+0.3*('Q-1'!G27+'Q-2'!G30)-EX!G18</f>
        <v>0</v>
      </c>
      <c r="F6" s="15">
        <f>'G-1'!H21+'G-2'!H24+0.3*('Q-1'!H27+'Q-2'!H30)-EX!H18</f>
        <v>0</v>
      </c>
      <c r="G6" s="15">
        <f>'G-1'!I21+'G-2'!I24+0.3*('Q-1'!I27+'Q-2'!I30)-EX!I18</f>
        <v>0</v>
      </c>
      <c r="H6" s="15">
        <f>'G-1'!J21+'G-2'!J24+0.3*('Q-1'!J27+'Q-2'!J30)-EX!J18</f>
        <v>-8.6204999999999998</v>
      </c>
    </row>
    <row r="7" spans="1:8">
      <c r="A7" s="14" t="s">
        <v>20</v>
      </c>
      <c r="B7" s="15">
        <v>6.5</v>
      </c>
      <c r="C7" s="15">
        <f>'G-1'!E22+'G-2'!E25+0.3*('Q-1'!E28+'Q-2'!E31)-EX!E19</f>
        <v>-411.13939999999997</v>
      </c>
      <c r="D7" s="15">
        <f>'G-1'!F22+'G-2'!F25+0.3*('Q-1'!F28+'Q-2'!F31)-EX!F19</f>
        <v>-52.991999999999997</v>
      </c>
      <c r="E7" s="15">
        <f>'G-1'!G22+'G-2'!G25+0.3*('Q-1'!G28+'Q-2'!G31)-EX!G19</f>
        <v>0</v>
      </c>
      <c r="F7" s="15">
        <f>'G-1'!H22+'G-2'!H25+0.3*('Q-1'!H28+'Q-2'!H31)-EX!H19</f>
        <v>0</v>
      </c>
      <c r="G7" s="15">
        <f>'G-1'!I22+'G-2'!I25+0.3*('Q-1'!I28+'Q-2'!I31)-EX!I19</f>
        <v>0</v>
      </c>
      <c r="H7" s="15">
        <f>'G-1'!J22+'G-2'!J25+0.3*('Q-1'!J28+'Q-2'!J31)-EX!J19</f>
        <v>129.15889999999999</v>
      </c>
    </row>
    <row r="8" spans="1:8">
      <c r="A8" s="16" t="s">
        <v>22</v>
      </c>
      <c r="B8" s="17">
        <v>0</v>
      </c>
      <c r="C8" s="17">
        <f>'G-1'!E35+'G-2'!E38+0.3*('Q-1'!E41+'Q-2'!E44)-EX!E32</f>
        <v>-145.45310000000003</v>
      </c>
      <c r="D8" s="17">
        <f>'G-1'!F35+'G-2'!F38+0.3*('Q-1'!F41+'Q-2'!F44)-EX!F32</f>
        <v>-3.258899999999997</v>
      </c>
      <c r="E8" s="17">
        <f>'G-1'!G35+'G-2'!G38+0.3*('Q-1'!G41+'Q-2'!G44)-EX!G32</f>
        <v>0</v>
      </c>
      <c r="F8" s="17">
        <f>'G-1'!H35+'G-2'!H38+0.3*('Q-1'!H41+'Q-2'!H44)-EX!H32</f>
        <v>0</v>
      </c>
      <c r="G8" s="17">
        <f>'G-1'!I35+'G-2'!I38+0.3*('Q-1'!I41+'Q-2'!I44)-EX!I32</f>
        <v>0</v>
      </c>
      <c r="H8" s="17">
        <f>'G-1'!J35+'G-2'!J38+0.3*('Q-1'!J41+'Q-2'!J44)-EX!J32</f>
        <v>-63.133700000000005</v>
      </c>
    </row>
    <row r="9" spans="1:8">
      <c r="A9" s="16" t="s">
        <v>22</v>
      </c>
      <c r="B9" s="17">
        <v>3.25</v>
      </c>
      <c r="C9" s="17">
        <f>'G-1'!E36+'G-2'!E39+0.3*('Q-1'!E42+'Q-2'!E45)-EX!E33</f>
        <v>-145.45310000000003</v>
      </c>
      <c r="D9" s="17">
        <f>'G-1'!F36+'G-2'!F39+0.3*('Q-1'!F42+'Q-2'!F45)-EX!F33</f>
        <v>-3.258899999999997</v>
      </c>
      <c r="E9" s="17">
        <f>'G-1'!G36+'G-2'!G39+0.3*('Q-1'!G42+'Q-2'!G45)-EX!G33</f>
        <v>0</v>
      </c>
      <c r="F9" s="17">
        <f>'G-1'!H36+'G-2'!H39+0.3*('Q-1'!H42+'Q-2'!H45)-EX!H33</f>
        <v>0</v>
      </c>
      <c r="G9" s="17">
        <f>'G-1'!I36+'G-2'!I39+0.3*('Q-1'!I42+'Q-2'!I45)-EX!I33</f>
        <v>0</v>
      </c>
      <c r="H9" s="17">
        <f>'G-1'!J36+'G-2'!J39+0.3*('Q-1'!J42+'Q-2'!J45)-EX!J33</f>
        <v>-54.660740000000004</v>
      </c>
    </row>
    <row r="10" spans="1:8">
      <c r="A10" s="16" t="s">
        <v>22</v>
      </c>
      <c r="B10" s="17">
        <v>6.5</v>
      </c>
      <c r="C10" s="17">
        <f>'G-1'!E37+'G-2'!E40+0.3*('Q-1'!E43+'Q-2'!E46)-EX!E34</f>
        <v>-145.45310000000003</v>
      </c>
      <c r="D10" s="17">
        <f>'G-1'!F37+'G-2'!F40+0.3*('Q-1'!F43+'Q-2'!F46)-EX!F34</f>
        <v>-3.258899999999997</v>
      </c>
      <c r="E10" s="17">
        <f>'G-1'!G37+'G-2'!G40+0.3*('Q-1'!G43+'Q-2'!G46)-EX!G34</f>
        <v>0</v>
      </c>
      <c r="F10" s="17">
        <f>'G-1'!H37+'G-2'!H40+0.3*('Q-1'!H43+'Q-2'!H46)-EX!H34</f>
        <v>0</v>
      </c>
      <c r="G10" s="17">
        <f>'G-1'!I37+'G-2'!I40+0.3*('Q-1'!I43+'Q-2'!I46)-EX!I34</f>
        <v>0</v>
      </c>
      <c r="H10" s="17">
        <f>'G-1'!J37+'G-2'!J40+0.3*('Q-1'!J43+'Q-2'!J46)-EX!J34</f>
        <v>-46.187579999999997</v>
      </c>
    </row>
    <row r="11" spans="1:8">
      <c r="A11" s="18" t="s">
        <v>24</v>
      </c>
      <c r="B11" s="19">
        <v>0</v>
      </c>
      <c r="C11" s="19">
        <f>'G-1'!E56+'G-2'!E65+0.3*('Q-1'!E74+'Q-2'!E83)-EX!E47</f>
        <v>0</v>
      </c>
      <c r="D11" s="19">
        <f>'G-1'!F56+'G-2'!F65+0.3*('Q-1'!F74+'Q-2'!F83)-EX!F47</f>
        <v>-182.84110000000001</v>
      </c>
      <c r="E11" s="19">
        <f>'G-1'!G56+'G-2'!G65+0.3*('Q-1'!G74+'Q-2'!G83)-EX!G47</f>
        <v>0</v>
      </c>
      <c r="F11" s="19">
        <f>'G-1'!H56+'G-2'!H65+0.3*('Q-1'!H74+'Q-2'!H83)-EX!H47</f>
        <v>0</v>
      </c>
      <c r="G11" s="19">
        <f>'G-1'!I56+'G-2'!I65+0.3*('Q-1'!I74+'Q-2'!I83)-EX!I47</f>
        <v>0</v>
      </c>
      <c r="H11" s="19">
        <f>'G-1'!J56+'G-2'!J65+0.3*('Q-1'!J74+'Q-2'!J83)-EX!J47</f>
        <v>-217.99717999999999</v>
      </c>
    </row>
    <row r="12" spans="1:8">
      <c r="A12" s="18" t="s">
        <v>24</v>
      </c>
      <c r="B12" s="19">
        <v>1.25</v>
      </c>
      <c r="C12" s="19">
        <f>'G-1'!E57+'G-2'!E66+0.3*('Q-1'!E75+'Q-2'!E84)-EX!E48</f>
        <v>0</v>
      </c>
      <c r="D12" s="19">
        <f>'G-1'!F57+'G-2'!F66+0.3*('Q-1'!F75+'Q-2'!F84)-EX!F48</f>
        <v>-136.6258</v>
      </c>
      <c r="E12" s="19">
        <f>'G-1'!G57+'G-2'!G66+0.3*('Q-1'!G75+'Q-2'!G84)-EX!G48</f>
        <v>0</v>
      </c>
      <c r="F12" s="19">
        <f>'G-1'!H57+'G-2'!H66+0.3*('Q-1'!H75+'Q-2'!H84)-EX!H48</f>
        <v>0</v>
      </c>
      <c r="G12" s="19">
        <f>'G-1'!I57+'G-2'!I66+0.3*('Q-1'!I75+'Q-2'!I84)-EX!I48</f>
        <v>0</v>
      </c>
      <c r="H12" s="19">
        <f>'G-1'!J57+'G-2'!J66+0.3*('Q-1'!J75+'Q-2'!J84)-EX!J48</f>
        <v>-57.265560000000001</v>
      </c>
    </row>
    <row r="13" spans="1:8">
      <c r="A13" s="18" t="s">
        <v>24</v>
      </c>
      <c r="B13" s="19">
        <v>2.5</v>
      </c>
      <c r="C13" s="19">
        <f>'G-1'!E58+'G-2'!E67+0.3*('Q-1'!E76+'Q-2'!E85)-EX!E49</f>
        <v>0</v>
      </c>
      <c r="D13" s="19">
        <f>'G-1'!F58+'G-2'!F67+0.3*('Q-1'!F76+'Q-2'!F85)-EX!F49</f>
        <v>-90.411799999999999</v>
      </c>
      <c r="E13" s="19">
        <f>'G-1'!G58+'G-2'!G67+0.3*('Q-1'!G76+'Q-2'!G85)-EX!G49</f>
        <v>0</v>
      </c>
      <c r="F13" s="19">
        <f>'G-1'!H58+'G-2'!H67+0.3*('Q-1'!H76+'Q-2'!H85)-EX!H49</f>
        <v>0</v>
      </c>
      <c r="G13" s="19">
        <f>'G-1'!I58+'G-2'!I67+0.3*('Q-1'!I76+'Q-2'!I85)-EX!I49</f>
        <v>0</v>
      </c>
      <c r="H13" s="19">
        <f>'G-1'!J58+'G-2'!J67+0.3*('Q-1'!J76+'Q-2'!J85)-EX!J49</f>
        <v>56.962469999999989</v>
      </c>
    </row>
    <row r="14" spans="1:8">
      <c r="A14" s="18" t="s">
        <v>24</v>
      </c>
      <c r="B14" s="19">
        <v>3.75</v>
      </c>
      <c r="C14" s="19">
        <f>'G-1'!E59+'G-2'!E68+0.3*('Q-1'!E77+'Q-2'!E86)-EX!E50</f>
        <v>0</v>
      </c>
      <c r="D14" s="19">
        <f>'G-1'!F59+'G-2'!F68+0.3*('Q-1'!F77+'Q-2'!F86)-EX!F50</f>
        <v>-44.197499999999991</v>
      </c>
      <c r="E14" s="19">
        <f>'G-1'!G59+'G-2'!G68+0.3*('Q-1'!G77+'Q-2'!G86)-EX!G50</f>
        <v>0</v>
      </c>
      <c r="F14" s="19">
        <f>'G-1'!H59+'G-2'!H68+0.3*('Q-1'!H77+'Q-2'!H86)-EX!H50</f>
        <v>0</v>
      </c>
      <c r="G14" s="19">
        <f>'G-1'!I59+'G-2'!I68+0.3*('Q-1'!I77+'Q-2'!I86)-EX!I50</f>
        <v>0</v>
      </c>
      <c r="H14" s="19">
        <f>'G-1'!J59+'G-2'!J68+0.3*('Q-1'!J77+'Q-2'!J86)-EX!J50</f>
        <v>124.68731</v>
      </c>
    </row>
    <row r="15" spans="1:8">
      <c r="A15" s="18" t="s">
        <v>24</v>
      </c>
      <c r="B15" s="19">
        <v>5</v>
      </c>
      <c r="C15" s="19">
        <f>'G-1'!E60+'G-2'!E69+0.3*('Q-1'!E78+'Q-2'!E87)-EX!E51</f>
        <v>0</v>
      </c>
      <c r="D15" s="19">
        <f>'G-1'!F60+'G-2'!F69+0.3*('Q-1'!F78+'Q-2'!F87)-EX!F51</f>
        <v>2.0177999999999976</v>
      </c>
      <c r="E15" s="19">
        <f>'G-1'!G60+'G-2'!G69+0.3*('Q-1'!G78+'Q-2'!G87)-EX!G51</f>
        <v>0</v>
      </c>
      <c r="F15" s="19">
        <f>'G-1'!H60+'G-2'!H69+0.3*('Q-1'!H78+'Q-2'!H87)-EX!H51</f>
        <v>0</v>
      </c>
      <c r="G15" s="19">
        <f>'G-1'!I60+'G-2'!I69+0.3*('Q-1'!I78+'Q-2'!I87)-EX!I51</f>
        <v>0</v>
      </c>
      <c r="H15" s="19">
        <f>'G-1'!J60+'G-2'!J69+0.3*('Q-1'!J78+'Q-2'!J87)-EX!J51</f>
        <v>145.90872999999999</v>
      </c>
    </row>
    <row r="16" spans="1:8">
      <c r="A16" s="18" t="s">
        <v>24</v>
      </c>
      <c r="B16" s="19">
        <v>6.25</v>
      </c>
      <c r="C16" s="19">
        <f>'G-1'!E61+'G-2'!E70+0.3*('Q-1'!E79+'Q-2'!E88)-EX!E52</f>
        <v>0</v>
      </c>
      <c r="D16" s="19">
        <f>'G-1'!F61+'G-2'!F70+0.3*('Q-1'!F79+'Q-2'!F88)-EX!F52</f>
        <v>48.232100000000003</v>
      </c>
      <c r="E16" s="19">
        <f>'G-1'!G61+'G-2'!G70+0.3*('Q-1'!G79+'Q-2'!G88)-EX!G52</f>
        <v>0</v>
      </c>
      <c r="F16" s="19">
        <f>'G-1'!H61+'G-2'!H70+0.3*('Q-1'!H79+'Q-2'!H88)-EX!H52</f>
        <v>0</v>
      </c>
      <c r="G16" s="19">
        <f>'G-1'!I61+'G-2'!I70+0.3*('Q-1'!I79+'Q-2'!I88)-EX!I52</f>
        <v>0</v>
      </c>
      <c r="H16" s="19">
        <f>'G-1'!J61+'G-2'!J70+0.3*('Q-1'!J79+'Q-2'!J88)-EX!J52</f>
        <v>120.62663000000001</v>
      </c>
    </row>
    <row r="17" spans="1:8">
      <c r="A17" s="18" t="s">
        <v>24</v>
      </c>
      <c r="B17" s="19">
        <v>7.5</v>
      </c>
      <c r="C17" s="19">
        <f>'G-1'!E62+'G-2'!E71+0.3*('Q-1'!E80+'Q-2'!E89)-EX!E53</f>
        <v>0</v>
      </c>
      <c r="D17" s="19">
        <f>'G-1'!F62+'G-2'!F71+0.3*('Q-1'!F80+'Q-2'!F89)-EX!F53</f>
        <v>94.446099999999987</v>
      </c>
      <c r="E17" s="19">
        <f>'G-1'!G62+'G-2'!G71+0.3*('Q-1'!G80+'Q-2'!G89)-EX!G53</f>
        <v>0</v>
      </c>
      <c r="F17" s="19">
        <f>'G-1'!H62+'G-2'!H71+0.3*('Q-1'!H80+'Q-2'!H89)-EX!H53</f>
        <v>0</v>
      </c>
      <c r="G17" s="19">
        <f>'G-1'!I62+'G-2'!I71+0.3*('Q-1'!I80+'Q-2'!I89)-EX!I53</f>
        <v>0</v>
      </c>
      <c r="H17" s="19">
        <f>'G-1'!J62+'G-2'!J71+0.3*('Q-1'!J80+'Q-2'!J89)-EX!J53</f>
        <v>48.841270000000002</v>
      </c>
    </row>
    <row r="18" spans="1:8">
      <c r="A18" s="18" t="s">
        <v>24</v>
      </c>
      <c r="B18" s="19">
        <v>8.75</v>
      </c>
      <c r="C18" s="19">
        <f>'G-1'!E63+'G-2'!E72+0.3*('Q-1'!E81+'Q-2'!E90)-EX!E54</f>
        <v>0</v>
      </c>
      <c r="D18" s="19">
        <f>'G-1'!F63+'G-2'!F72+0.3*('Q-1'!F81+'Q-2'!F90)-EX!F54</f>
        <v>140.66040000000001</v>
      </c>
      <c r="E18" s="19">
        <f>'G-1'!G63+'G-2'!G72+0.3*('Q-1'!G81+'Q-2'!G90)-EX!G54</f>
        <v>0</v>
      </c>
      <c r="F18" s="19">
        <f>'G-1'!H63+'G-2'!H72+0.3*('Q-1'!H81+'Q-2'!H90)-EX!H54</f>
        <v>0</v>
      </c>
      <c r="G18" s="19">
        <f>'G-1'!I63+'G-2'!I72+0.3*('Q-1'!I81+'Q-2'!I90)-EX!I54</f>
        <v>0</v>
      </c>
      <c r="H18" s="19">
        <f>'G-1'!J63+'G-2'!J72+0.3*('Q-1'!J81+'Q-2'!J90)-EX!J54</f>
        <v>-69.447639999999993</v>
      </c>
    </row>
    <row r="19" spans="1:8">
      <c r="A19" s="18" t="s">
        <v>24</v>
      </c>
      <c r="B19" s="19">
        <v>10</v>
      </c>
      <c r="C19" s="19">
        <f>'G-1'!E64+'G-2'!E73+0.3*('Q-1'!E82+'Q-2'!E91)-EX!E55</f>
        <v>0</v>
      </c>
      <c r="D19" s="19">
        <f>'G-1'!F64+'G-2'!F73+0.3*('Q-1'!F82+'Q-2'!F91)-EX!F55</f>
        <v>186.87569999999999</v>
      </c>
      <c r="E19" s="19">
        <f>'G-1'!G64+'G-2'!G73+0.3*('Q-1'!G82+'Q-2'!G91)-EX!G55</f>
        <v>0</v>
      </c>
      <c r="F19" s="19">
        <f>'G-1'!H64+'G-2'!H73+0.3*('Q-1'!H82+'Q-2'!H91)-EX!H55</f>
        <v>0</v>
      </c>
      <c r="G19" s="19">
        <f>'G-1'!I64+'G-2'!I73+0.3*('Q-1'!I82+'Q-2'!I91)-EX!I55</f>
        <v>0</v>
      </c>
      <c r="H19" s="19">
        <f>'G-1'!J64+'G-2'!J73+0.3*('Q-1'!J82+'Q-2'!J91)-EX!J55</f>
        <v>-234.23964000000001</v>
      </c>
    </row>
    <row r="20" spans="1:8">
      <c r="A20" s="20" t="s">
        <v>26</v>
      </c>
      <c r="B20" s="21">
        <v>0</v>
      </c>
      <c r="C20" s="21">
        <f>'G-1'!E101+'G-2'!E110+0.3*('Q-1'!E119+'Q-2'!E128)-EX!E92</f>
        <v>0</v>
      </c>
      <c r="D20" s="21">
        <f>'G-1'!F101+'G-2'!F110+0.3*('Q-1'!F119+'Q-2'!F128)-EX!F92</f>
        <v>-224.26369999999997</v>
      </c>
      <c r="E20" s="21">
        <f>'G-1'!G101+'G-2'!G110+0.3*('Q-1'!G119+'Q-2'!G128)-EX!G92</f>
        <v>0</v>
      </c>
      <c r="F20" s="21">
        <f>'G-1'!H101+'G-2'!H110+0.3*('Q-1'!H119+'Q-2'!H128)-EX!H92</f>
        <v>0</v>
      </c>
      <c r="G20" s="21">
        <f>'G-1'!I101+'G-2'!I110+0.3*('Q-1'!I119+'Q-2'!I128)-EX!I92</f>
        <v>0</v>
      </c>
      <c r="H20" s="21">
        <f>'G-1'!J101+'G-2'!J110+0.3*('Q-1'!J119+'Q-2'!J128)-EX!J92</f>
        <v>-363.39864</v>
      </c>
    </row>
    <row r="21" spans="1:8" ht="15.75" customHeight="1">
      <c r="A21" s="20" t="s">
        <v>26</v>
      </c>
      <c r="B21" s="21">
        <v>1.25</v>
      </c>
      <c r="C21" s="21">
        <f>'G-1'!E102+'G-2'!E111+0.3*('Q-1'!E120+'Q-2'!E129)-EX!E93</f>
        <v>0</v>
      </c>
      <c r="D21" s="21">
        <f>'G-1'!F102+'G-2'!F111+0.3*('Q-1'!F120+'Q-2'!F129)-EX!F93</f>
        <v>-178.04839999999999</v>
      </c>
      <c r="E21" s="21">
        <f>'G-1'!G102+'G-2'!G111+0.3*('Q-1'!G120+'Q-2'!G129)-EX!G93</f>
        <v>0</v>
      </c>
      <c r="F21" s="21">
        <f>'G-1'!H102+'G-2'!H111+0.3*('Q-1'!H120+'Q-2'!H129)-EX!H93</f>
        <v>0</v>
      </c>
      <c r="G21" s="21">
        <f>'G-1'!I102+'G-2'!I111+0.3*('Q-1'!I120+'Q-2'!I129)-EX!I93</f>
        <v>0</v>
      </c>
      <c r="H21" s="21">
        <f>'G-1'!J102+'G-2'!J111+0.3*('Q-1'!J120+'Q-2'!J129)-EX!J93</f>
        <v>-160.98543999999998</v>
      </c>
    </row>
    <row r="22" spans="1:8" ht="15.75" customHeight="1">
      <c r="A22" s="20" t="s">
        <v>26</v>
      </c>
      <c r="B22" s="21">
        <v>2.5</v>
      </c>
      <c r="C22" s="21">
        <f>'G-1'!E103+'G-2'!E112+0.3*('Q-1'!E121+'Q-2'!E130)-EX!E94</f>
        <v>0</v>
      </c>
      <c r="D22" s="21">
        <f>'G-1'!F103+'G-2'!F112+0.3*('Q-1'!F121+'Q-2'!F130)-EX!F94</f>
        <v>-131.83409999999998</v>
      </c>
      <c r="E22" s="21">
        <f>'G-1'!G103+'G-2'!G112+0.3*('Q-1'!G121+'Q-2'!G130)-EX!G94</f>
        <v>0</v>
      </c>
      <c r="F22" s="21">
        <f>'G-1'!H103+'G-2'!H112+0.3*('Q-1'!H121+'Q-2'!H130)-EX!H94</f>
        <v>0</v>
      </c>
      <c r="G22" s="21">
        <f>'G-1'!I103+'G-2'!I112+0.3*('Q-1'!I121+'Q-2'!I130)-EX!I94</f>
        <v>0</v>
      </c>
      <c r="H22" s="21">
        <f>'G-1'!J103+'G-2'!J112+0.3*('Q-1'!J121+'Q-2'!J130)-EX!J94</f>
        <v>-5.0755300000000005</v>
      </c>
    </row>
    <row r="23" spans="1:8" ht="15.75" customHeight="1">
      <c r="A23" s="20" t="s">
        <v>26</v>
      </c>
      <c r="B23" s="21">
        <v>3.75</v>
      </c>
      <c r="C23" s="21">
        <f>'G-1'!E104+'G-2'!E113+0.3*('Q-1'!E122+'Q-2'!E131)-EX!E95</f>
        <v>0</v>
      </c>
      <c r="D23" s="21">
        <f>'G-1'!F104+'G-2'!F113+0.3*('Q-1'!F122+'Q-2'!F131)-EX!F95</f>
        <v>-85.620100000000008</v>
      </c>
      <c r="E23" s="21">
        <f>'G-1'!G104+'G-2'!G113+0.3*('Q-1'!G122+'Q-2'!G131)-EX!G95</f>
        <v>0</v>
      </c>
      <c r="F23" s="21">
        <f>'G-1'!H104+'G-2'!H113+0.3*('Q-1'!H122+'Q-2'!H131)-EX!H95</f>
        <v>0</v>
      </c>
      <c r="G23" s="21">
        <f>'G-1'!I104+'G-2'!I113+0.3*('Q-1'!I122+'Q-2'!I131)-EX!I95</f>
        <v>0</v>
      </c>
      <c r="H23" s="21">
        <f>'G-1'!J104+'G-2'!J113+0.3*('Q-1'!J122+'Q-2'!J131)-EX!J95</f>
        <v>104.33082999999999</v>
      </c>
    </row>
    <row r="24" spans="1:8" ht="15.75" customHeight="1">
      <c r="A24" s="20" t="s">
        <v>26</v>
      </c>
      <c r="B24" s="21">
        <v>5</v>
      </c>
      <c r="C24" s="21">
        <f>'G-1'!E105+'G-2'!E114+0.3*('Q-1'!E123+'Q-2'!E132)-EX!E96</f>
        <v>0</v>
      </c>
      <c r="D24" s="21">
        <f>'G-1'!F105+'G-2'!F114+0.3*('Q-1'!F123+'Q-2'!F132)-EX!F96</f>
        <v>-39.405799999999999</v>
      </c>
      <c r="E24" s="21">
        <f>'G-1'!G105+'G-2'!G114+0.3*('Q-1'!G123+'Q-2'!G132)-EX!G96</f>
        <v>0</v>
      </c>
      <c r="F24" s="21">
        <f>'G-1'!H105+'G-2'!H114+0.3*('Q-1'!H123+'Q-2'!H132)-EX!H96</f>
        <v>0</v>
      </c>
      <c r="G24" s="21">
        <f>'G-1'!I105+'G-2'!I114+0.3*('Q-1'!I123+'Q-2'!I132)-EX!I96</f>
        <v>0</v>
      </c>
      <c r="H24" s="21">
        <f>'G-1'!J105+'G-2'!J114+0.3*('Q-1'!J123+'Q-2'!J132)-EX!J96</f>
        <v>167.23392999999999</v>
      </c>
    </row>
    <row r="25" spans="1:8" ht="15.75" customHeight="1">
      <c r="A25" s="20" t="s">
        <v>26</v>
      </c>
      <c r="B25" s="21">
        <v>6.25</v>
      </c>
      <c r="C25" s="21">
        <f>'G-1'!E106+'G-2'!E115+0.3*('Q-1'!E124+'Q-2'!E133)-EX!E97</f>
        <v>0</v>
      </c>
      <c r="D25" s="21">
        <f>'G-1'!F106+'G-2'!F115+0.3*('Q-1'!F124+'Q-2'!F133)-EX!F97</f>
        <v>6.8094999999999963</v>
      </c>
      <c r="E25" s="21">
        <f>'G-1'!G106+'G-2'!G115+0.3*('Q-1'!G124+'Q-2'!G133)-EX!G97</f>
        <v>0</v>
      </c>
      <c r="F25" s="21">
        <f>'G-1'!H106+'G-2'!H115+0.3*('Q-1'!H124+'Q-2'!H133)-EX!H97</f>
        <v>0</v>
      </c>
      <c r="G25" s="21">
        <f>'G-1'!I106+'G-2'!I115+0.3*('Q-1'!I124+'Q-2'!I133)-EX!I97</f>
        <v>0</v>
      </c>
      <c r="H25" s="21">
        <f>'G-1'!J106+'G-2'!J115+0.3*('Q-1'!J124+'Q-2'!J133)-EX!J97</f>
        <v>183.63370999999998</v>
      </c>
    </row>
    <row r="26" spans="1:8" ht="15.75" customHeight="1">
      <c r="A26" s="20" t="s">
        <v>26</v>
      </c>
      <c r="B26" s="21">
        <v>7.5</v>
      </c>
      <c r="C26" s="21">
        <f>'G-1'!E107+'G-2'!E116+0.3*('Q-1'!E125+'Q-2'!E134)-EX!E98</f>
        <v>0</v>
      </c>
      <c r="D26" s="21">
        <f>'G-1'!F107+'G-2'!F116+0.3*('Q-1'!F125+'Q-2'!F134)-EX!F98</f>
        <v>53.023799999999994</v>
      </c>
      <c r="E26" s="21">
        <f>'G-1'!G107+'G-2'!G116+0.3*('Q-1'!G125+'Q-2'!G134)-EX!G98</f>
        <v>0</v>
      </c>
      <c r="F26" s="21">
        <f>'G-1'!H107+'G-2'!H116+0.3*('Q-1'!H125+'Q-2'!H134)-EX!H98</f>
        <v>0</v>
      </c>
      <c r="G26" s="21">
        <f>'G-1'!I107+'G-2'!I116+0.3*('Q-1'!I125+'Q-2'!I134)-EX!I98</f>
        <v>0</v>
      </c>
      <c r="H26" s="21">
        <f>'G-1'!J107+'G-2'!J116+0.3*('Q-1'!J125+'Q-2'!J134)-EX!J98</f>
        <v>153.52986999999999</v>
      </c>
    </row>
    <row r="27" spans="1:8" ht="15.75" customHeight="1">
      <c r="A27" s="20" t="s">
        <v>26</v>
      </c>
      <c r="B27" s="21">
        <v>8.75</v>
      </c>
      <c r="C27" s="21">
        <f>'G-1'!E108+'G-2'!E117+0.3*('Q-1'!E126+'Q-2'!E135)-EX!E99</f>
        <v>0</v>
      </c>
      <c r="D27" s="21">
        <f>'G-1'!F108+'G-2'!F117+0.3*('Q-1'!F126+'Q-2'!F135)-EX!F99</f>
        <v>99.237800000000007</v>
      </c>
      <c r="E27" s="21">
        <f>'G-1'!G108+'G-2'!G117+0.3*('Q-1'!G126+'Q-2'!G135)-EX!G99</f>
        <v>0</v>
      </c>
      <c r="F27" s="21">
        <f>'G-1'!H108+'G-2'!H117+0.3*('Q-1'!H126+'Q-2'!H135)-EX!H99</f>
        <v>0</v>
      </c>
      <c r="G27" s="21">
        <f>'G-1'!I108+'G-2'!I117+0.3*('Q-1'!I126+'Q-2'!I135)-EX!I99</f>
        <v>0</v>
      </c>
      <c r="H27" s="21">
        <f>'G-1'!J108+'G-2'!J117+0.3*('Q-1'!J126+'Q-2'!J135)-EX!J99</f>
        <v>76.922840000000008</v>
      </c>
    </row>
    <row r="28" spans="1:8" ht="15.75" customHeight="1">
      <c r="A28" s="20" t="s">
        <v>26</v>
      </c>
      <c r="B28" s="21">
        <v>10</v>
      </c>
      <c r="C28" s="21">
        <f>'G-1'!E109+'G-2'!E118+0.3*('Q-1'!E127+'Q-2'!E136)-EX!E100</f>
        <v>0</v>
      </c>
      <c r="D28" s="21">
        <f>'G-1'!F109+'G-2'!F118+0.3*('Q-1'!F127+'Q-2'!F136)-EX!F100</f>
        <v>145.45310000000003</v>
      </c>
      <c r="E28" s="21">
        <f>'G-1'!G109+'G-2'!G118+0.3*('Q-1'!G127+'Q-2'!G136)-EX!G100</f>
        <v>0</v>
      </c>
      <c r="F28" s="21">
        <f>'G-1'!H109+'G-2'!H118+0.3*('Q-1'!H127+'Q-2'!H136)-EX!H100</f>
        <v>0</v>
      </c>
      <c r="G28" s="21">
        <f>'G-1'!I109+'G-2'!I118+0.3*('Q-1'!I127+'Q-2'!I136)-EX!I100</f>
        <v>0</v>
      </c>
      <c r="H28" s="21">
        <f>'G-1'!J109+'G-2'!J118+0.3*('Q-1'!J127+'Q-2'!J136)-EX!J100</f>
        <v>-46.187579999999997</v>
      </c>
    </row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000"/>
  <sheetViews>
    <sheetView workbookViewId="0"/>
  </sheetViews>
  <sheetFormatPr defaultColWidth="14.42578125" defaultRowHeight="15" customHeight="1"/>
  <cols>
    <col min="1" max="1" width="13" customWidth="1"/>
    <col min="2" max="2" width="8.7109375" customWidth="1"/>
    <col min="3" max="3" width="12.42578125" customWidth="1"/>
    <col min="4" max="26" width="8.7109375" customWidth="1"/>
  </cols>
  <sheetData>
    <row r="1" spans="1:11">
      <c r="A1" s="6" t="s">
        <v>28</v>
      </c>
      <c r="B1" s="6" t="s">
        <v>29</v>
      </c>
      <c r="C1" s="6" t="s">
        <v>30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7" t="s">
        <v>4</v>
      </c>
      <c r="K1" s="7" t="s">
        <v>5</v>
      </c>
    </row>
    <row r="2" spans="1:11">
      <c r="A2" s="33">
        <v>1</v>
      </c>
      <c r="B2" s="34" t="s">
        <v>31</v>
      </c>
      <c r="C2" s="22" t="s">
        <v>32</v>
      </c>
      <c r="D2" s="23">
        <f>'Δ-Δ'!C$2</f>
        <v>-300.35865000000001</v>
      </c>
      <c r="E2" s="23">
        <f>'Δ-Δ'!D$2</f>
        <v>-68.554500000000004</v>
      </c>
      <c r="F2" s="23">
        <f>'Δ-Δ'!E$2</f>
        <v>0</v>
      </c>
      <c r="G2" s="23">
        <f>'Δ-Δ'!F$2</f>
        <v>0</v>
      </c>
      <c r="H2" s="23">
        <f>'Δ-Δ'!G$2</f>
        <v>0</v>
      </c>
      <c r="I2" s="23">
        <f>'Δ-Δ'!H$2</f>
        <v>-114.77754</v>
      </c>
      <c r="J2" s="24">
        <f t="shared" ref="J2:K2" si="0">D2</f>
        <v>-300.35865000000001</v>
      </c>
      <c r="K2" s="24">
        <f t="shared" si="0"/>
        <v>-68.554500000000004</v>
      </c>
    </row>
    <row r="3" spans="1:11">
      <c r="A3" s="39"/>
      <c r="B3" s="40"/>
      <c r="C3" s="22" t="s">
        <v>33</v>
      </c>
      <c r="D3" s="23">
        <f>'Δ-Ε'!C$2</f>
        <v>-311.66270000000003</v>
      </c>
      <c r="E3" s="23">
        <f>'Δ-Ε'!D$2</f>
        <v>-69.688749999999999</v>
      </c>
      <c r="F3" s="23">
        <f>'Δ-Ε'!E$2</f>
        <v>0</v>
      </c>
      <c r="G3" s="23">
        <f>'Δ-Ε'!F$2</f>
        <v>0</v>
      </c>
      <c r="H3" s="23">
        <f>'Δ-Ε'!G$2</f>
        <v>0</v>
      </c>
      <c r="I3" s="23">
        <f>'Δ-Ε'!H$2</f>
        <v>-109.437085</v>
      </c>
      <c r="J3" s="24">
        <f t="shared" ref="J3:K3" si="1">D3</f>
        <v>-311.66270000000003</v>
      </c>
      <c r="K3" s="24">
        <f t="shared" si="1"/>
        <v>-69.688749999999999</v>
      </c>
    </row>
    <row r="4" spans="1:11">
      <c r="A4" s="39"/>
      <c r="B4" s="40"/>
      <c r="C4" s="22" t="s">
        <v>34</v>
      </c>
      <c r="D4" s="23">
        <f>'Ε-Δ'!C$2</f>
        <v>-131.26495</v>
      </c>
      <c r="E4" s="23">
        <f>'Ε-Δ'!D$2</f>
        <v>-31.405749999999998</v>
      </c>
      <c r="F4" s="23">
        <f>'Ε-Δ'!E$2</f>
        <v>0</v>
      </c>
      <c r="G4" s="23">
        <f>'Ε-Δ'!F$2</f>
        <v>0</v>
      </c>
      <c r="H4" s="23">
        <f>'Ε-Δ'!G$2</f>
        <v>0</v>
      </c>
      <c r="I4" s="23">
        <f>'Ε-Δ'!H$2</f>
        <v>-59.820855000000002</v>
      </c>
      <c r="J4" s="24">
        <f t="shared" ref="J4:K4" si="2">D4</f>
        <v>-131.26495</v>
      </c>
      <c r="K4" s="24">
        <f t="shared" si="2"/>
        <v>-31.405749999999998</v>
      </c>
    </row>
    <row r="5" spans="1:11">
      <c r="A5" s="39"/>
      <c r="B5" s="40"/>
      <c r="C5" s="22" t="s">
        <v>35</v>
      </c>
      <c r="D5" s="23">
        <f>'EQ+'!C$2</f>
        <v>-145.45310000000003</v>
      </c>
      <c r="E5" s="23">
        <f>'EQ+'!D$2</f>
        <v>3.258899999999997</v>
      </c>
      <c r="F5" s="23">
        <f>'EQ+'!E$2</f>
        <v>0</v>
      </c>
      <c r="G5" s="23">
        <f>'EQ+'!F$2</f>
        <v>0</v>
      </c>
      <c r="H5" s="23">
        <f>'EQ+'!G$2</f>
        <v>0</v>
      </c>
      <c r="I5" s="23">
        <f>'EQ+'!H$2</f>
        <v>63.133700000000005</v>
      </c>
      <c r="J5" s="24">
        <f t="shared" ref="J5:K5" si="3">D5</f>
        <v>-145.45310000000003</v>
      </c>
      <c r="K5" s="24">
        <f t="shared" si="3"/>
        <v>3.258899999999997</v>
      </c>
    </row>
    <row r="6" spans="1:11">
      <c r="A6" s="39"/>
      <c r="B6" s="40"/>
      <c r="C6" s="22" t="s">
        <v>36</v>
      </c>
      <c r="D6" s="23">
        <f>'EQ-'!C$2</f>
        <v>-182.84110000000001</v>
      </c>
      <c r="E6" s="23">
        <f>'EQ-'!D$2</f>
        <v>-78.189099999999996</v>
      </c>
      <c r="F6" s="23">
        <f>'EQ-'!E$2</f>
        <v>0</v>
      </c>
      <c r="G6" s="23">
        <f>'EQ-'!F$2</f>
        <v>0</v>
      </c>
      <c r="H6" s="23">
        <f>'EQ-'!G$2</f>
        <v>0</v>
      </c>
      <c r="I6" s="23">
        <f>'EQ-'!H$2</f>
        <v>-188.58609999999999</v>
      </c>
      <c r="J6" s="24">
        <f t="shared" ref="J6:K6" si="4">D6</f>
        <v>-182.84110000000001</v>
      </c>
      <c r="K6" s="24">
        <f t="shared" si="4"/>
        <v>-78.189099999999996</v>
      </c>
    </row>
    <row r="7" spans="1:11">
      <c r="A7" s="39"/>
      <c r="B7" s="35" t="s">
        <v>37</v>
      </c>
      <c r="C7" s="12" t="s">
        <v>32</v>
      </c>
      <c r="D7" s="13">
        <f>'Δ-Δ'!C$4</f>
        <v>-300.35865000000001</v>
      </c>
      <c r="E7" s="13">
        <f>'Δ-Δ'!D$4</f>
        <v>-68.554500000000004</v>
      </c>
      <c r="F7" s="13">
        <f>'Δ-Δ'!E$4</f>
        <v>0</v>
      </c>
      <c r="G7" s="13">
        <f>'Δ-Δ'!F$4</f>
        <v>0</v>
      </c>
      <c r="H7" s="13">
        <f>'Δ-Δ'!G$4</f>
        <v>0</v>
      </c>
      <c r="I7" s="13">
        <f>'Δ-Δ'!H$4</f>
        <v>241.70506500000005</v>
      </c>
      <c r="J7" s="25">
        <f t="shared" ref="J7:K7" si="5">D7</f>
        <v>-300.35865000000001</v>
      </c>
      <c r="K7" s="25">
        <f t="shared" si="5"/>
        <v>-68.554500000000004</v>
      </c>
    </row>
    <row r="8" spans="1:11">
      <c r="A8" s="39"/>
      <c r="B8" s="40"/>
      <c r="C8" s="12" t="s">
        <v>33</v>
      </c>
      <c r="D8" s="13">
        <f>'Δ-Ε'!C$4</f>
        <v>-311.66270000000003</v>
      </c>
      <c r="E8" s="13">
        <f>'Δ-Ε'!D$4</f>
        <v>-69.688749999999999</v>
      </c>
      <c r="F8" s="13">
        <f>'Δ-Ε'!E$4</f>
        <v>0</v>
      </c>
      <c r="G8" s="13">
        <f>'Δ-Ε'!F$4</f>
        <v>0</v>
      </c>
      <c r="H8" s="13">
        <f>'Δ-Ε'!G$4</f>
        <v>0</v>
      </c>
      <c r="I8" s="13">
        <f>'Δ-Ε'!H$4</f>
        <v>252.94356999999999</v>
      </c>
      <c r="J8" s="25">
        <f t="shared" ref="J8:K8" si="6">D8</f>
        <v>-311.66270000000003</v>
      </c>
      <c r="K8" s="25">
        <f t="shared" si="6"/>
        <v>-69.688749999999999</v>
      </c>
    </row>
    <row r="9" spans="1:11">
      <c r="A9" s="39"/>
      <c r="B9" s="40"/>
      <c r="C9" s="12" t="s">
        <v>34</v>
      </c>
      <c r="D9" s="13">
        <f>'Ε-Δ'!C$4</f>
        <v>-131.26495</v>
      </c>
      <c r="E9" s="13">
        <f>'Ε-Δ'!D$4</f>
        <v>-31.405749999999998</v>
      </c>
      <c r="F9" s="13">
        <f>'Ε-Δ'!E$4</f>
        <v>0</v>
      </c>
      <c r="G9" s="13">
        <f>'Ε-Δ'!F$4</f>
        <v>0</v>
      </c>
      <c r="H9" s="13">
        <f>'Ε-Δ'!G$4</f>
        <v>0</v>
      </c>
      <c r="I9" s="13">
        <f>'Ε-Δ'!H$4</f>
        <v>103.489395</v>
      </c>
      <c r="J9" s="25">
        <f t="shared" ref="J9:K9" si="7">D9</f>
        <v>-131.26495</v>
      </c>
      <c r="K9" s="25">
        <f t="shared" si="7"/>
        <v>-31.405749999999998</v>
      </c>
    </row>
    <row r="10" spans="1:11">
      <c r="A10" s="39"/>
      <c r="B10" s="40"/>
      <c r="C10" s="12" t="s">
        <v>35</v>
      </c>
      <c r="D10" s="13">
        <f>'EQ+'!C$4</f>
        <v>-145.45310000000003</v>
      </c>
      <c r="E10" s="13">
        <f>'EQ+'!D$4</f>
        <v>3.258899999999997</v>
      </c>
      <c r="F10" s="13">
        <f>'EQ+'!E$4</f>
        <v>0</v>
      </c>
      <c r="G10" s="13">
        <f>'EQ+'!F$4</f>
        <v>0</v>
      </c>
      <c r="H10" s="13">
        <f>'EQ+'!G$4</f>
        <v>0</v>
      </c>
      <c r="I10" s="13">
        <f>'EQ+'!H$4</f>
        <v>46.187579999999997</v>
      </c>
      <c r="J10" s="25">
        <f t="shared" ref="J10:K10" si="8">D10</f>
        <v>-145.45310000000003</v>
      </c>
      <c r="K10" s="25">
        <f t="shared" si="8"/>
        <v>3.258899999999997</v>
      </c>
    </row>
    <row r="11" spans="1:11">
      <c r="A11" s="39"/>
      <c r="B11" s="40"/>
      <c r="C11" s="12" t="s">
        <v>36</v>
      </c>
      <c r="D11" s="13">
        <f>'EQ-'!C$4</f>
        <v>-182.84110000000001</v>
      </c>
      <c r="E11" s="13">
        <f>'EQ-'!D$4</f>
        <v>-78.189099999999996</v>
      </c>
      <c r="F11" s="13">
        <f>'EQ-'!E$4</f>
        <v>0</v>
      </c>
      <c r="G11" s="13">
        <f>'EQ-'!F$4</f>
        <v>0</v>
      </c>
      <c r="H11" s="13">
        <f>'EQ-'!G$4</f>
        <v>0</v>
      </c>
      <c r="I11" s="13">
        <f>'EQ-'!H$4</f>
        <v>217.99717999999999</v>
      </c>
      <c r="J11" s="25">
        <f t="shared" ref="J11:K11" si="9">D11</f>
        <v>-182.84110000000001</v>
      </c>
      <c r="K11" s="25">
        <f t="shared" si="9"/>
        <v>-78.189099999999996</v>
      </c>
    </row>
    <row r="12" spans="1:11">
      <c r="A12" s="33">
        <v>2</v>
      </c>
      <c r="B12" s="34" t="s">
        <v>38</v>
      </c>
      <c r="C12" s="22" t="s">
        <v>32</v>
      </c>
      <c r="D12" s="23">
        <f>'Δ-Δ'!C$5</f>
        <v>-752.31119999999999</v>
      </c>
      <c r="E12" s="23">
        <f>'Δ-Δ'!D$5</f>
        <v>0</v>
      </c>
      <c r="F12" s="23">
        <f>'Δ-Δ'!E$5</f>
        <v>0</v>
      </c>
      <c r="G12" s="23">
        <f>'Δ-Δ'!F$5</f>
        <v>0</v>
      </c>
      <c r="H12" s="23">
        <f>'Δ-Δ'!G$5</f>
        <v>0</v>
      </c>
      <c r="I12" s="23">
        <f>'Δ-Δ'!H$5</f>
        <v>0</v>
      </c>
      <c r="J12" s="24">
        <f t="shared" ref="J12:K12" si="10">D12</f>
        <v>-752.31119999999999</v>
      </c>
      <c r="K12" s="24">
        <f t="shared" si="10"/>
        <v>0</v>
      </c>
    </row>
    <row r="13" spans="1:11">
      <c r="A13" s="39"/>
      <c r="B13" s="40"/>
      <c r="C13" s="22" t="s">
        <v>33</v>
      </c>
      <c r="D13" s="23">
        <f>'Δ-Ε'!C$5</f>
        <v>-554.70159999999998</v>
      </c>
      <c r="E13" s="23">
        <f>'Δ-Ε'!D$5</f>
        <v>38.283000000000001</v>
      </c>
      <c r="F13" s="23">
        <f>'Δ-Ε'!E$5</f>
        <v>0</v>
      </c>
      <c r="G13" s="23">
        <f>'Δ-Ε'!F$5</f>
        <v>0</v>
      </c>
      <c r="H13" s="23">
        <f>'Δ-Ε'!G$5</f>
        <v>0</v>
      </c>
      <c r="I13" s="23">
        <f>'Δ-Ε'!H$5</f>
        <v>71.334685000000007</v>
      </c>
      <c r="J13" s="24">
        <f t="shared" ref="J13:K13" si="11">D13</f>
        <v>-554.70159999999998</v>
      </c>
      <c r="K13" s="24">
        <f t="shared" si="11"/>
        <v>38.283000000000001</v>
      </c>
    </row>
    <row r="14" spans="1:11">
      <c r="A14" s="39"/>
      <c r="B14" s="40"/>
      <c r="C14" s="22" t="s">
        <v>34</v>
      </c>
      <c r="D14" s="23">
        <f>'Ε-Δ'!C$5</f>
        <v>-554.70159999999998</v>
      </c>
      <c r="E14" s="23">
        <f>'Ε-Δ'!D$5</f>
        <v>-38.283000000000001</v>
      </c>
      <c r="F14" s="23">
        <f>'Ε-Δ'!E$5</f>
        <v>0</v>
      </c>
      <c r="G14" s="23">
        <f>'Ε-Δ'!F$5</f>
        <v>0</v>
      </c>
      <c r="H14" s="23">
        <f>'Ε-Δ'!G$5</f>
        <v>0</v>
      </c>
      <c r="I14" s="23">
        <f>'Ε-Δ'!H$5</f>
        <v>-71.334685000000007</v>
      </c>
      <c r="J14" s="24">
        <f t="shared" ref="J14:K14" si="12">D14</f>
        <v>-554.70159999999998</v>
      </c>
      <c r="K14" s="24">
        <f t="shared" si="12"/>
        <v>-38.283000000000001</v>
      </c>
    </row>
    <row r="15" spans="1:11">
      <c r="A15" s="39"/>
      <c r="B15" s="40"/>
      <c r="C15" s="22" t="s">
        <v>35</v>
      </c>
      <c r="D15" s="23">
        <f>'EQ+'!C$5</f>
        <v>-411.13939999999997</v>
      </c>
      <c r="E15" s="23">
        <f>'EQ+'!D$5</f>
        <v>52.991999999999997</v>
      </c>
      <c r="F15" s="23">
        <f>'EQ+'!E$5</f>
        <v>0</v>
      </c>
      <c r="G15" s="23">
        <f>'EQ+'!F$5</f>
        <v>0</v>
      </c>
      <c r="H15" s="23">
        <f>'EQ+'!G$5</f>
        <v>0</v>
      </c>
      <c r="I15" s="23">
        <f>'EQ+'!H$5</f>
        <v>146.3998</v>
      </c>
      <c r="J15" s="24">
        <f t="shared" ref="J15:K15" si="13">D15</f>
        <v>-411.13939999999997</v>
      </c>
      <c r="K15" s="24">
        <f t="shared" si="13"/>
        <v>52.991999999999997</v>
      </c>
    </row>
    <row r="16" spans="1:11">
      <c r="A16" s="39"/>
      <c r="B16" s="40"/>
      <c r="C16" s="22" t="s">
        <v>36</v>
      </c>
      <c r="D16" s="23">
        <f>'EQ-'!C$5</f>
        <v>-411.13939999999997</v>
      </c>
      <c r="E16" s="23">
        <f>'EQ-'!D$5</f>
        <v>-52.991999999999997</v>
      </c>
      <c r="F16" s="23">
        <f>'EQ-'!E$5</f>
        <v>0</v>
      </c>
      <c r="G16" s="23">
        <f>'EQ-'!F$5</f>
        <v>0</v>
      </c>
      <c r="H16" s="23">
        <f>'EQ-'!G$5</f>
        <v>0</v>
      </c>
      <c r="I16" s="23">
        <f>'EQ-'!H$5</f>
        <v>-146.3998</v>
      </c>
      <c r="J16" s="24">
        <f t="shared" ref="J16:K16" si="14">D16</f>
        <v>-411.13939999999997</v>
      </c>
      <c r="K16" s="24">
        <f t="shared" si="14"/>
        <v>-52.991999999999997</v>
      </c>
    </row>
    <row r="17" spans="1:11">
      <c r="A17" s="39"/>
      <c r="B17" s="35" t="s">
        <v>39</v>
      </c>
      <c r="C17" s="12" t="s">
        <v>32</v>
      </c>
      <c r="D17" s="13">
        <f>'Δ-Δ'!C$7</f>
        <v>-752.31119999999999</v>
      </c>
      <c r="E17" s="13">
        <f>'Δ-Δ'!D$7</f>
        <v>0</v>
      </c>
      <c r="F17" s="13">
        <f>'Δ-Δ'!E$7</f>
        <v>0</v>
      </c>
      <c r="G17" s="13">
        <f>'Δ-Δ'!F$7</f>
        <v>0</v>
      </c>
      <c r="H17" s="13">
        <f>'Δ-Δ'!G$7</f>
        <v>0</v>
      </c>
      <c r="I17" s="13">
        <f>'Δ-Δ'!H$7</f>
        <v>0</v>
      </c>
      <c r="J17" s="25">
        <f t="shared" ref="J17:K17" si="15">D17</f>
        <v>-752.31119999999999</v>
      </c>
      <c r="K17" s="25">
        <f t="shared" si="15"/>
        <v>0</v>
      </c>
    </row>
    <row r="18" spans="1:11">
      <c r="A18" s="39"/>
      <c r="B18" s="40"/>
      <c r="C18" s="12" t="s">
        <v>33</v>
      </c>
      <c r="D18" s="13">
        <f>'Δ-Ε'!C$7</f>
        <v>-554.70159999999998</v>
      </c>
      <c r="E18" s="13">
        <f>'Δ-Ε'!D$7</f>
        <v>38.283000000000001</v>
      </c>
      <c r="F18" s="13">
        <f>'Δ-Ε'!E$7</f>
        <v>0</v>
      </c>
      <c r="G18" s="13">
        <f>'Δ-Ε'!F$7</f>
        <v>0</v>
      </c>
      <c r="H18" s="13">
        <f>'Δ-Ε'!G$7</f>
        <v>0</v>
      </c>
      <c r="I18" s="13">
        <f>'Δ-Ε'!H$7</f>
        <v>-127.73572000000003</v>
      </c>
      <c r="J18" s="25">
        <f t="shared" ref="J18:K18" si="16">D18</f>
        <v>-554.70159999999998</v>
      </c>
      <c r="K18" s="25">
        <f t="shared" si="16"/>
        <v>38.283000000000001</v>
      </c>
    </row>
    <row r="19" spans="1:11">
      <c r="A19" s="39"/>
      <c r="B19" s="40"/>
      <c r="C19" s="12" t="s">
        <v>34</v>
      </c>
      <c r="D19" s="13">
        <f>'Ε-Δ'!C$7</f>
        <v>-554.70159999999998</v>
      </c>
      <c r="E19" s="13">
        <f>'Ε-Δ'!D$7</f>
        <v>-38.283000000000001</v>
      </c>
      <c r="F19" s="13">
        <f>'Ε-Δ'!E$7</f>
        <v>0</v>
      </c>
      <c r="G19" s="13">
        <f>'Ε-Δ'!F$7</f>
        <v>0</v>
      </c>
      <c r="H19" s="13">
        <f>'Ε-Δ'!G$7</f>
        <v>0</v>
      </c>
      <c r="I19" s="13">
        <f>'Ε-Δ'!H$7</f>
        <v>127.73572000000003</v>
      </c>
      <c r="J19" s="25">
        <f t="shared" ref="J19:K19" si="17">D19</f>
        <v>-554.70159999999998</v>
      </c>
      <c r="K19" s="25">
        <f t="shared" si="17"/>
        <v>-38.283000000000001</v>
      </c>
    </row>
    <row r="20" spans="1:11">
      <c r="A20" s="39"/>
      <c r="B20" s="40"/>
      <c r="C20" s="12" t="s">
        <v>35</v>
      </c>
      <c r="D20" s="13">
        <f>'EQ+'!C$7</f>
        <v>-411.13939999999997</v>
      </c>
      <c r="E20" s="13">
        <f>'EQ+'!D$7</f>
        <v>52.991999999999997</v>
      </c>
      <c r="F20" s="13">
        <f>'EQ+'!E$7</f>
        <v>0</v>
      </c>
      <c r="G20" s="13">
        <f>'EQ+'!F$7</f>
        <v>0</v>
      </c>
      <c r="H20" s="13">
        <f>'EQ+'!G$7</f>
        <v>0</v>
      </c>
      <c r="I20" s="13">
        <f>'EQ+'!H$7</f>
        <v>-129.15889999999999</v>
      </c>
      <c r="J20" s="25">
        <f t="shared" ref="J20:K20" si="18">D20</f>
        <v>-411.13939999999997</v>
      </c>
      <c r="K20" s="25">
        <f t="shared" si="18"/>
        <v>52.991999999999997</v>
      </c>
    </row>
    <row r="21" spans="1:11" ht="15.75" customHeight="1">
      <c r="A21" s="39"/>
      <c r="B21" s="40"/>
      <c r="C21" s="12" t="s">
        <v>36</v>
      </c>
      <c r="D21" s="13">
        <f>'EQ-'!C$7</f>
        <v>-411.13939999999997</v>
      </c>
      <c r="E21" s="13">
        <f>'EQ-'!D$7</f>
        <v>-52.991999999999997</v>
      </c>
      <c r="F21" s="13">
        <f>'EQ-'!E$7</f>
        <v>0</v>
      </c>
      <c r="G21" s="13">
        <f>'EQ-'!F$7</f>
        <v>0</v>
      </c>
      <c r="H21" s="13">
        <f>'EQ-'!G$7</f>
        <v>0</v>
      </c>
      <c r="I21" s="13">
        <f>'EQ-'!H$7</f>
        <v>129.15889999999999</v>
      </c>
      <c r="J21" s="25">
        <f t="shared" ref="J21:K21" si="19">D21</f>
        <v>-411.13939999999997</v>
      </c>
      <c r="K21" s="25">
        <f t="shared" si="19"/>
        <v>-52.991999999999997</v>
      </c>
    </row>
    <row r="22" spans="1:11" ht="15.75" customHeight="1">
      <c r="A22" s="33">
        <v>4</v>
      </c>
      <c r="B22" s="31">
        <v>0</v>
      </c>
      <c r="C22" s="20" t="s">
        <v>32</v>
      </c>
      <c r="D22" s="21">
        <f>'Δ-Δ'!C$11</f>
        <v>0</v>
      </c>
      <c r="E22" s="21">
        <f>'Δ-Δ'!D$11</f>
        <v>-300.35865000000001</v>
      </c>
      <c r="F22" s="21">
        <f>'Δ-Δ'!E$11</f>
        <v>0</v>
      </c>
      <c r="G22" s="21">
        <f>'Δ-Δ'!F$11</f>
        <v>0</v>
      </c>
      <c r="H22" s="21">
        <f>'Δ-Δ'!G$11</f>
        <v>0</v>
      </c>
      <c r="I22" s="21">
        <f>'Δ-Δ'!H$11</f>
        <v>-241.70506500000005</v>
      </c>
      <c r="J22" s="26">
        <f t="shared" ref="J22:K22" si="20">D22</f>
        <v>0</v>
      </c>
      <c r="K22" s="26">
        <f t="shared" si="20"/>
        <v>-300.35865000000001</v>
      </c>
    </row>
    <row r="23" spans="1:11" ht="15.75" customHeight="1">
      <c r="A23" s="39"/>
      <c r="B23" s="40"/>
      <c r="C23" s="20" t="s">
        <v>33</v>
      </c>
      <c r="D23" s="21">
        <f>'Δ-Ε'!C$11</f>
        <v>0</v>
      </c>
      <c r="E23" s="21">
        <f>'Δ-Ε'!D$11</f>
        <v>-311.66270000000003</v>
      </c>
      <c r="F23" s="21">
        <f>'Δ-Ε'!E$11</f>
        <v>0</v>
      </c>
      <c r="G23" s="21">
        <f>'Δ-Ε'!F$11</f>
        <v>0</v>
      </c>
      <c r="H23" s="21">
        <f>'Δ-Ε'!G$11</f>
        <v>0</v>
      </c>
      <c r="I23" s="21">
        <f>'Δ-Ε'!H$11</f>
        <v>-252.94356999999999</v>
      </c>
      <c r="J23" s="26">
        <f t="shared" ref="J23:K23" si="21">D23</f>
        <v>0</v>
      </c>
      <c r="K23" s="26">
        <f t="shared" si="21"/>
        <v>-311.66270000000003</v>
      </c>
    </row>
    <row r="24" spans="1:11" ht="15.75" customHeight="1">
      <c r="A24" s="39"/>
      <c r="B24" s="40"/>
      <c r="C24" s="20" t="s">
        <v>34</v>
      </c>
      <c r="D24" s="21">
        <f>'Ε-Δ'!C$11</f>
        <v>0</v>
      </c>
      <c r="E24" s="21">
        <f>'Ε-Δ'!D$11</f>
        <v>-131.26495</v>
      </c>
      <c r="F24" s="21">
        <f>'Ε-Δ'!E$11</f>
        <v>0</v>
      </c>
      <c r="G24" s="21">
        <f>'Ε-Δ'!F$11</f>
        <v>0</v>
      </c>
      <c r="H24" s="21">
        <f>'Ε-Δ'!G$11</f>
        <v>0</v>
      </c>
      <c r="I24" s="21">
        <f>'Ε-Δ'!H$11</f>
        <v>-103.489395</v>
      </c>
      <c r="J24" s="26">
        <f t="shared" ref="J24:K24" si="22">D24</f>
        <v>0</v>
      </c>
      <c r="K24" s="26">
        <f t="shared" si="22"/>
        <v>-131.26495</v>
      </c>
    </row>
    <row r="25" spans="1:11" ht="15.75" customHeight="1">
      <c r="A25" s="39"/>
      <c r="B25" s="40"/>
      <c r="C25" s="20" t="s">
        <v>35</v>
      </c>
      <c r="D25" s="21">
        <f>'EQ+'!C$11</f>
        <v>0</v>
      </c>
      <c r="E25" s="21">
        <f>'EQ+'!D$11</f>
        <v>-145.45310000000003</v>
      </c>
      <c r="F25" s="21">
        <f>'EQ+'!E$11</f>
        <v>0</v>
      </c>
      <c r="G25" s="21">
        <f>'EQ+'!F$11</f>
        <v>0</v>
      </c>
      <c r="H25" s="21">
        <f>'EQ+'!G$11</f>
        <v>0</v>
      </c>
      <c r="I25" s="21">
        <f>'EQ+'!H$11</f>
        <v>-46.187579999999997</v>
      </c>
      <c r="J25" s="26">
        <f t="shared" ref="J25:K25" si="23">D25</f>
        <v>0</v>
      </c>
      <c r="K25" s="26">
        <f t="shared" si="23"/>
        <v>-145.45310000000003</v>
      </c>
    </row>
    <row r="26" spans="1:11" ht="15.75" customHeight="1">
      <c r="A26" s="39"/>
      <c r="B26" s="40"/>
      <c r="C26" s="20" t="s">
        <v>36</v>
      </c>
      <c r="D26" s="21">
        <f>'EQ-'!C$11</f>
        <v>0</v>
      </c>
      <c r="E26" s="21">
        <f>'EQ-'!D$11</f>
        <v>-182.84110000000001</v>
      </c>
      <c r="F26" s="21">
        <f>'EQ-'!E$11</f>
        <v>0</v>
      </c>
      <c r="G26" s="21">
        <f>'EQ-'!F$11</f>
        <v>0</v>
      </c>
      <c r="H26" s="21">
        <f>'EQ-'!G$11</f>
        <v>0</v>
      </c>
      <c r="I26" s="21">
        <f>'EQ-'!H$11</f>
        <v>-217.99717999999999</v>
      </c>
      <c r="J26" s="26">
        <f t="shared" ref="J26:K26" si="24">D26</f>
        <v>0</v>
      </c>
      <c r="K26" s="26">
        <f t="shared" si="24"/>
        <v>-182.84110000000001</v>
      </c>
    </row>
    <row r="27" spans="1:11" ht="15.75" customHeight="1">
      <c r="A27" s="39"/>
      <c r="B27" s="32" t="s">
        <v>40</v>
      </c>
      <c r="C27" s="18" t="s">
        <v>32</v>
      </c>
      <c r="D27" s="19">
        <f>'Δ-Δ'!C$15</f>
        <v>0</v>
      </c>
      <c r="E27" s="19">
        <f>'Δ-Δ'!D$15</f>
        <v>37.899149999999999</v>
      </c>
      <c r="F27" s="19">
        <f>'Δ-Δ'!E$15</f>
        <v>0</v>
      </c>
      <c r="G27" s="19">
        <f>'Δ-Δ'!F$15</f>
        <v>0</v>
      </c>
      <c r="H27" s="19">
        <f>'Δ-Δ'!G$15</f>
        <v>0</v>
      </c>
      <c r="I27" s="19">
        <f>'Δ-Δ'!H$15</f>
        <v>286.497165</v>
      </c>
      <c r="J27" s="27">
        <f t="shared" ref="J27:K27" si="25">D27</f>
        <v>0</v>
      </c>
      <c r="K27" s="27">
        <f t="shared" si="25"/>
        <v>37.899149999999999</v>
      </c>
    </row>
    <row r="28" spans="1:11" ht="15.75" customHeight="1">
      <c r="A28" s="39"/>
      <c r="B28" s="40"/>
      <c r="C28" s="18" t="s">
        <v>33</v>
      </c>
      <c r="D28" s="19">
        <f>'Δ-Ε'!C$15</f>
        <v>0</v>
      </c>
      <c r="E28" s="19">
        <f>'Δ-Ε'!D$15</f>
        <v>26.595099999999999</v>
      </c>
      <c r="F28" s="19">
        <f>'Δ-Ε'!E$15</f>
        <v>0</v>
      </c>
      <c r="G28" s="19">
        <f>'Δ-Ε'!F$15</f>
        <v>0</v>
      </c>
      <c r="H28" s="19">
        <f>'Δ-Ε'!G$15</f>
        <v>0</v>
      </c>
      <c r="I28" s="19">
        <f>'Δ-Ε'!H$15</f>
        <v>320.75589500000001</v>
      </c>
      <c r="J28" s="27">
        <f t="shared" ref="J28:K28" si="26">D28</f>
        <v>0</v>
      </c>
      <c r="K28" s="27">
        <f t="shared" si="26"/>
        <v>26.595099999999999</v>
      </c>
    </row>
    <row r="29" spans="1:11" ht="15.75" customHeight="1">
      <c r="A29" s="39"/>
      <c r="B29" s="40"/>
      <c r="C29" s="18" t="s">
        <v>34</v>
      </c>
      <c r="D29" s="19">
        <f>'Ε-Δ'!C$15</f>
        <v>0</v>
      </c>
      <c r="E29" s="19">
        <f>'Ε-Δ'!D$15</f>
        <v>29.293050000000001</v>
      </c>
      <c r="F29" s="19">
        <f>'Ε-Δ'!E$15</f>
        <v>0</v>
      </c>
      <c r="G29" s="19">
        <f>'Ε-Δ'!F$15</f>
        <v>0</v>
      </c>
      <c r="H29" s="19">
        <f>'Ε-Δ'!G$15</f>
        <v>0</v>
      </c>
      <c r="I29" s="19">
        <f>'Ε-Δ'!H$15</f>
        <v>101.73016999999999</v>
      </c>
      <c r="J29" s="27">
        <f t="shared" ref="J29:K29" si="27">D29</f>
        <v>0</v>
      </c>
      <c r="K29" s="27">
        <f t="shared" si="27"/>
        <v>29.293050000000001</v>
      </c>
    </row>
    <row r="30" spans="1:11" ht="15.75" customHeight="1">
      <c r="A30" s="39"/>
      <c r="B30" s="40"/>
      <c r="C30" s="18" t="s">
        <v>35</v>
      </c>
      <c r="D30" s="19">
        <f>'EQ+'!C$15</f>
        <v>0</v>
      </c>
      <c r="E30" s="19">
        <f>'EQ+'!D$15</f>
        <v>39.405799999999999</v>
      </c>
      <c r="F30" s="19">
        <f>'EQ+'!E$15</f>
        <v>0</v>
      </c>
      <c r="G30" s="19">
        <f>'EQ+'!F$15</f>
        <v>0</v>
      </c>
      <c r="H30" s="19">
        <f>'EQ+'!G$15</f>
        <v>0</v>
      </c>
      <c r="I30" s="19">
        <f>'EQ+'!H$15</f>
        <v>167.23392999999999</v>
      </c>
      <c r="J30" s="27">
        <f t="shared" ref="J30:K30" si="28">D30</f>
        <v>0</v>
      </c>
      <c r="K30" s="27">
        <f t="shared" si="28"/>
        <v>39.405799999999999</v>
      </c>
    </row>
    <row r="31" spans="1:11" ht="15.75" customHeight="1">
      <c r="A31" s="39"/>
      <c r="B31" s="40"/>
      <c r="C31" s="18" t="s">
        <v>36</v>
      </c>
      <c r="D31" s="19">
        <f>'EQ-'!C$15</f>
        <v>0</v>
      </c>
      <c r="E31" s="19">
        <f>'EQ-'!D$15</f>
        <v>2.0177999999999976</v>
      </c>
      <c r="F31" s="19">
        <f>'EQ-'!E$15</f>
        <v>0</v>
      </c>
      <c r="G31" s="19">
        <f>'EQ-'!F$15</f>
        <v>0</v>
      </c>
      <c r="H31" s="19">
        <f>'EQ-'!G$15</f>
        <v>0</v>
      </c>
      <c r="I31" s="19">
        <f>'EQ-'!H$15</f>
        <v>145.90872999999999</v>
      </c>
      <c r="J31" s="27">
        <f t="shared" ref="J31:K31" si="29">D31</f>
        <v>0</v>
      </c>
      <c r="K31" s="27">
        <f t="shared" si="29"/>
        <v>2.0177999999999976</v>
      </c>
    </row>
    <row r="32" spans="1:11" ht="15.75" customHeight="1">
      <c r="A32" s="39"/>
      <c r="B32" s="36" t="s">
        <v>41</v>
      </c>
      <c r="C32" s="28" t="s">
        <v>32</v>
      </c>
      <c r="D32" s="29">
        <f>'Δ-Δ'!C$19</f>
        <v>0</v>
      </c>
      <c r="E32" s="29">
        <f>'Δ-Δ'!D$19</f>
        <v>376.15560000000005</v>
      </c>
      <c r="F32" s="29">
        <f>'Δ-Δ'!E$19</f>
        <v>0</v>
      </c>
      <c r="G32" s="29">
        <f>'Δ-Δ'!F$19</f>
        <v>0</v>
      </c>
      <c r="H32" s="29">
        <f>'Δ-Δ'!G$19</f>
        <v>0</v>
      </c>
      <c r="I32" s="29">
        <f>'Δ-Δ'!H$19</f>
        <v>-546.78492000000006</v>
      </c>
      <c r="J32" s="30">
        <f t="shared" ref="J32:K32" si="30">D32</f>
        <v>0</v>
      </c>
      <c r="K32" s="30">
        <f t="shared" si="30"/>
        <v>376.15560000000005</v>
      </c>
    </row>
    <row r="33" spans="1:11" ht="15.75" customHeight="1">
      <c r="A33" s="39"/>
      <c r="B33" s="40"/>
      <c r="C33" s="28" t="s">
        <v>33</v>
      </c>
      <c r="D33" s="29">
        <f>'Δ-Ε'!C$19</f>
        <v>0</v>
      </c>
      <c r="E33" s="29">
        <f>'Δ-Ε'!D$19</f>
        <v>364.85154999999997</v>
      </c>
      <c r="F33" s="29">
        <f>'Δ-Ε'!E$19</f>
        <v>0</v>
      </c>
      <c r="G33" s="29">
        <f>'Δ-Ε'!F$19</f>
        <v>0</v>
      </c>
      <c r="H33" s="29">
        <f>'Δ-Ε'!G$19</f>
        <v>0</v>
      </c>
      <c r="I33" s="29">
        <f>'Δ-Ε'!H$19</f>
        <v>-467.02892000000003</v>
      </c>
      <c r="J33" s="30">
        <f t="shared" ref="J33:K33" si="31">D33</f>
        <v>0</v>
      </c>
      <c r="K33" s="30">
        <f t="shared" si="31"/>
        <v>364.85154999999997</v>
      </c>
    </row>
    <row r="34" spans="1:11" ht="15.75" customHeight="1">
      <c r="A34" s="39"/>
      <c r="B34" s="40"/>
      <c r="C34" s="28" t="s">
        <v>34</v>
      </c>
      <c r="D34" s="29">
        <f>'Ε-Δ'!C$19</f>
        <v>0</v>
      </c>
      <c r="E34" s="29">
        <f>'Ε-Δ'!D$19</f>
        <v>189.85005000000001</v>
      </c>
      <c r="F34" s="29">
        <f>'Ε-Δ'!E$19</f>
        <v>0</v>
      </c>
      <c r="G34" s="29">
        <f>'Ε-Δ'!F$19</f>
        <v>0</v>
      </c>
      <c r="H34" s="29">
        <f>'Ε-Δ'!G$19</f>
        <v>0</v>
      </c>
      <c r="I34" s="29">
        <f>'Ε-Δ'!H$19</f>
        <v>-339.29320000000007</v>
      </c>
      <c r="J34" s="30">
        <f t="shared" ref="J34:K34" si="32">D34</f>
        <v>0</v>
      </c>
      <c r="K34" s="30">
        <f t="shared" si="32"/>
        <v>189.85005000000001</v>
      </c>
    </row>
    <row r="35" spans="1:11" ht="15.75" customHeight="1">
      <c r="A35" s="39"/>
      <c r="B35" s="40"/>
      <c r="C35" s="28" t="s">
        <v>35</v>
      </c>
      <c r="D35" s="29">
        <f>'EQ+'!C$19</f>
        <v>0</v>
      </c>
      <c r="E35" s="29">
        <f>'EQ+'!D$19</f>
        <v>224.26369999999997</v>
      </c>
      <c r="F35" s="29">
        <f>'EQ+'!E$19</f>
        <v>0</v>
      </c>
      <c r="G35" s="29">
        <f>'EQ+'!F$19</f>
        <v>0</v>
      </c>
      <c r="H35" s="29">
        <f>'EQ+'!G$19</f>
        <v>0</v>
      </c>
      <c r="I35" s="29">
        <f>'EQ+'!H$19</f>
        <v>-363.39864</v>
      </c>
      <c r="J35" s="30">
        <f t="shared" ref="J35:K35" si="33">D35</f>
        <v>0</v>
      </c>
      <c r="K35" s="30">
        <f t="shared" si="33"/>
        <v>224.26369999999997</v>
      </c>
    </row>
    <row r="36" spans="1:11" ht="15.75" customHeight="1">
      <c r="A36" s="39"/>
      <c r="B36" s="40"/>
      <c r="C36" s="28" t="s">
        <v>36</v>
      </c>
      <c r="D36" s="29">
        <f>'EQ-'!C$19</f>
        <v>0</v>
      </c>
      <c r="E36" s="29">
        <f>'EQ-'!D$19</f>
        <v>186.87569999999999</v>
      </c>
      <c r="F36" s="29">
        <f>'EQ-'!E$19</f>
        <v>0</v>
      </c>
      <c r="G36" s="29">
        <f>'EQ-'!F$19</f>
        <v>0</v>
      </c>
      <c r="H36" s="29">
        <f>'EQ-'!G$19</f>
        <v>0</v>
      </c>
      <c r="I36" s="29">
        <f>'EQ-'!H$19</f>
        <v>-234.23964000000001</v>
      </c>
      <c r="J36" s="30">
        <f t="shared" ref="J36:K36" si="34">D36</f>
        <v>0</v>
      </c>
      <c r="K36" s="30">
        <f t="shared" si="34"/>
        <v>186.87569999999999</v>
      </c>
    </row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22:B26"/>
    <mergeCell ref="B27:B31"/>
    <mergeCell ref="A2:A11"/>
    <mergeCell ref="B2:B6"/>
    <mergeCell ref="B7:B11"/>
    <mergeCell ref="A12:A21"/>
    <mergeCell ref="B12:B16"/>
    <mergeCell ref="B17:B21"/>
    <mergeCell ref="A22:A36"/>
    <mergeCell ref="B32:B36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000"/>
  <sheetViews>
    <sheetView tabSelected="1" workbookViewId="0"/>
  </sheetViews>
  <sheetFormatPr defaultColWidth="14.42578125" defaultRowHeight="15" customHeight="1"/>
  <cols>
    <col min="1" max="1" width="11.28515625" customWidth="1"/>
    <col min="2" max="2" width="11" customWidth="1"/>
    <col min="3" max="3" width="12.42578125" customWidth="1"/>
    <col min="4" max="9" width="13.85546875" customWidth="1"/>
    <col min="10" max="11" width="8.7109375" customWidth="1"/>
    <col min="12" max="12" width="16" customWidth="1"/>
    <col min="13" max="26" width="8.7109375" customWidth="1"/>
  </cols>
  <sheetData>
    <row r="1" spans="1:13">
      <c r="A1" s="37" t="s">
        <v>28</v>
      </c>
      <c r="B1" s="37" t="s">
        <v>29</v>
      </c>
      <c r="C1" s="37" t="s">
        <v>42</v>
      </c>
      <c r="D1" s="38" t="s">
        <v>43</v>
      </c>
      <c r="E1" s="41"/>
      <c r="F1" s="42"/>
      <c r="G1" s="38" t="s">
        <v>44</v>
      </c>
      <c r="H1" s="41"/>
      <c r="I1" s="42"/>
      <c r="L1" s="8" t="s">
        <v>45</v>
      </c>
      <c r="M1" s="9">
        <v>19048</v>
      </c>
    </row>
    <row r="2" spans="1:13">
      <c r="A2" s="43"/>
      <c r="B2" s="43"/>
      <c r="C2" s="43"/>
      <c r="D2" s="10" t="s">
        <v>46</v>
      </c>
      <c r="E2" s="10" t="s">
        <v>47</v>
      </c>
      <c r="F2" s="10" t="s">
        <v>48</v>
      </c>
      <c r="G2" s="10" t="s">
        <v>46</v>
      </c>
      <c r="H2" s="10" t="s">
        <v>47</v>
      </c>
      <c r="I2" s="10" t="s">
        <v>48</v>
      </c>
      <c r="L2" s="8" t="s">
        <v>49</v>
      </c>
      <c r="M2" s="9">
        <v>4</v>
      </c>
    </row>
    <row r="3" spans="1:13">
      <c r="A3" s="37">
        <v>1</v>
      </c>
      <c r="B3" s="37" t="s">
        <v>31</v>
      </c>
      <c r="C3" s="10" t="s">
        <v>50</v>
      </c>
      <c r="D3" s="11">
        <f>VLOOKUP(E3,'1-2-4'!I2:J4,2,FALSE)</f>
        <v>-300.35865000000001</v>
      </c>
      <c r="E3" s="11">
        <f>MIN('1-2-4'!$I2:$I4)</f>
        <v>-114.77754</v>
      </c>
      <c r="F3" s="11">
        <f>MIN('1-2-4'!K2:K4)</f>
        <v>-69.688749999999999</v>
      </c>
      <c r="G3" s="11">
        <f>VLOOKUP(H3,'1-2-4'!I5:J6,2,FALSE)</f>
        <v>-182.84110000000001</v>
      </c>
      <c r="H3" s="11">
        <f>MIN('1-2-4'!I5:I6)</f>
        <v>-188.58609999999999</v>
      </c>
      <c r="I3" s="11">
        <f>MIN('1-2-4'!K5:K6)</f>
        <v>-78.189099999999996</v>
      </c>
      <c r="L3" s="8" t="s">
        <v>51</v>
      </c>
      <c r="M3" s="9">
        <v>8</v>
      </c>
    </row>
    <row r="4" spans="1:13">
      <c r="A4" s="44"/>
      <c r="B4" s="43"/>
      <c r="C4" s="10" t="s">
        <v>52</v>
      </c>
      <c r="D4" s="11">
        <f>VLOOKUP(E4,'1-2-4'!I2:J4,2,FALSE)</f>
        <v>-131.26495</v>
      </c>
      <c r="E4" s="11">
        <f>MAX('1-2-4'!$I2:$I4)</f>
        <v>-59.820855000000002</v>
      </c>
      <c r="F4" s="11">
        <f>MAX('1-2-4'!K2:K4)</f>
        <v>-31.405749999999998</v>
      </c>
      <c r="G4" s="11">
        <f>VLOOKUP(H4,'1-2-4'!I5:J6,2,FALSE)</f>
        <v>-145.45310000000003</v>
      </c>
      <c r="H4" s="11">
        <f>MAX('1-2-4'!I5:I6)</f>
        <v>63.133700000000005</v>
      </c>
      <c r="I4" s="11">
        <f>MAX('1-2-4'!K5:K6)</f>
        <v>3.258899999999997</v>
      </c>
    </row>
    <row r="5" spans="1:13">
      <c r="A5" s="44"/>
      <c r="B5" s="37" t="s">
        <v>37</v>
      </c>
      <c r="C5" s="10" t="s">
        <v>50</v>
      </c>
      <c r="D5" s="11">
        <f>VLOOKUP(E5,'1-2-4'!I7:J9,2,FALSE)</f>
        <v>-131.26495</v>
      </c>
      <c r="E5" s="11">
        <f>MIN('1-2-4'!$I7:$I9)</f>
        <v>103.489395</v>
      </c>
      <c r="F5" s="11">
        <f>MIN('1-2-4'!K7:K9)</f>
        <v>-69.688749999999999</v>
      </c>
      <c r="G5" s="11">
        <f>VLOOKUP(H5,'1-2-4'!I10:J11,2,FALSE)</f>
        <v>-145.45310000000003</v>
      </c>
      <c r="H5" s="11">
        <f>MIN('1-2-4'!I10:I11)</f>
        <v>46.187579999999997</v>
      </c>
      <c r="I5" s="11">
        <f>MIN('1-2-4'!K10:K11)</f>
        <v>-78.189099999999996</v>
      </c>
    </row>
    <row r="6" spans="1:13">
      <c r="A6" s="43"/>
      <c r="B6" s="43"/>
      <c r="C6" s="10" t="s">
        <v>52</v>
      </c>
      <c r="D6" s="11">
        <f>VLOOKUP(E6,'1-2-4'!I7:J9,2,FALSE)</f>
        <v>-311.66270000000003</v>
      </c>
      <c r="E6" s="11">
        <f>MAX('1-2-4'!$I7:$I9)</f>
        <v>252.94356999999999</v>
      </c>
      <c r="F6" s="11">
        <f>MAX('1-2-4'!K7:K9)</f>
        <v>-31.405749999999998</v>
      </c>
      <c r="G6" s="11">
        <f>VLOOKUP(H6,'1-2-4'!I10:J11,2,FALSE)</f>
        <v>-182.84110000000001</v>
      </c>
      <c r="H6" s="11">
        <f>MAX('1-2-4'!I10:I11)</f>
        <v>217.99717999999999</v>
      </c>
      <c r="I6" s="11">
        <f>MAX('1-2-4'!K10:K11)</f>
        <v>3.258899999999997</v>
      </c>
    </row>
    <row r="7" spans="1:13">
      <c r="A7" s="37">
        <v>2</v>
      </c>
      <c r="B7" s="37" t="s">
        <v>38</v>
      </c>
      <c r="C7" s="10" t="s">
        <v>50</v>
      </c>
      <c r="D7" s="11">
        <f>VLOOKUP(E7,'1-2-4'!I12:K14,2,FALSE)</f>
        <v>-554.70159999999998</v>
      </c>
      <c r="E7" s="11">
        <f>MIN('1-2-4'!$I12:$I14)</f>
        <v>-71.334685000000007</v>
      </c>
      <c r="F7" s="11">
        <f>MIN('1-2-4'!K12:K14)</f>
        <v>-38.283000000000001</v>
      </c>
      <c r="G7" s="11">
        <f>VLOOKUP(H7,'1-2-4'!I15:J16,2,FALSE)</f>
        <v>-411.13939999999997</v>
      </c>
      <c r="H7" s="11">
        <f>MIN('1-2-4'!I15:I16)</f>
        <v>-146.3998</v>
      </c>
      <c r="I7" s="11">
        <f>MIN('1-2-4'!K15:K16)</f>
        <v>-52.991999999999997</v>
      </c>
    </row>
    <row r="8" spans="1:13">
      <c r="A8" s="44"/>
      <c r="B8" s="43"/>
      <c r="C8" s="10" t="s">
        <v>52</v>
      </c>
      <c r="D8" s="11">
        <f>VLOOKUP(E8,'1-2-4'!I12:K14,2,FALSE)</f>
        <v>-554.70159999999998</v>
      </c>
      <c r="E8" s="11">
        <f>MAX('1-2-4'!$I12:$I14)</f>
        <v>71.334685000000007</v>
      </c>
      <c r="F8" s="11">
        <f>MAX('1-2-4'!K12:K14)</f>
        <v>38.283000000000001</v>
      </c>
      <c r="G8" s="11">
        <f>VLOOKUP(H8,'1-2-4'!I15:J16,2,FALSE)</f>
        <v>-411.13939999999997</v>
      </c>
      <c r="H8" s="11">
        <f>MAX('1-2-4'!I15:I16)</f>
        <v>146.3998</v>
      </c>
      <c r="I8" s="11">
        <f>MAX('1-2-4'!K15:K16)</f>
        <v>52.991999999999997</v>
      </c>
    </row>
    <row r="9" spans="1:13">
      <c r="A9" s="44"/>
      <c r="B9" s="37" t="s">
        <v>39</v>
      </c>
      <c r="C9" s="10" t="s">
        <v>50</v>
      </c>
      <c r="D9" s="11">
        <f>VLOOKUP(E9,'1-2-4'!I17:J19,2,FALSE)</f>
        <v>-554.70159999999998</v>
      </c>
      <c r="E9" s="11">
        <f>MIN('1-2-4'!$I17:$I19)</f>
        <v>-127.73572000000003</v>
      </c>
      <c r="F9" s="11">
        <f>MIN('1-2-4'!K17:K19)</f>
        <v>-38.283000000000001</v>
      </c>
      <c r="G9" s="11">
        <f>VLOOKUP(H9,'1-2-4'!I20:J21,2,FALSE)</f>
        <v>-411.13939999999997</v>
      </c>
      <c r="H9" s="11">
        <f>MIN('1-2-4'!I20:I21)</f>
        <v>-129.15889999999999</v>
      </c>
      <c r="I9" s="11">
        <f>MIN('1-2-4'!K20:K21)</f>
        <v>-52.991999999999997</v>
      </c>
    </row>
    <row r="10" spans="1:13">
      <c r="A10" s="43"/>
      <c r="B10" s="43"/>
      <c r="C10" s="10" t="s">
        <v>52</v>
      </c>
      <c r="D10" s="11">
        <f>VLOOKUP(E10,'1-2-4'!I17:J19,2,FALSE)</f>
        <v>-554.70159999999998</v>
      </c>
      <c r="E10" s="11">
        <f>MAX('1-2-4'!$I17:$I19)</f>
        <v>127.73572000000003</v>
      </c>
      <c r="F10" s="11">
        <f>MAX('1-2-4'!K17:K19)</f>
        <v>38.283000000000001</v>
      </c>
      <c r="G10" s="11">
        <f>VLOOKUP(H10,'1-2-4'!I20:J21,2,FALSE)</f>
        <v>-411.13939999999997</v>
      </c>
      <c r="H10" s="11">
        <f>MAX('1-2-4'!I20:I21)</f>
        <v>129.15889999999999</v>
      </c>
      <c r="I10" s="11">
        <f>MAX('1-2-4'!K20:K21)</f>
        <v>52.991999999999997</v>
      </c>
    </row>
    <row r="11" spans="1:13">
      <c r="A11" s="37">
        <v>4</v>
      </c>
      <c r="B11" s="37">
        <v>0</v>
      </c>
      <c r="C11" s="10" t="s">
        <v>50</v>
      </c>
      <c r="D11" s="11">
        <f>VLOOKUP(E11,'1-2-4'!I22:J24,2,FALSE)</f>
        <v>0</v>
      </c>
      <c r="E11" s="11">
        <f>MIN('1-2-4'!$I22:$I24)</f>
        <v>-252.94356999999999</v>
      </c>
      <c r="F11" s="11">
        <f>MIN('1-2-4'!K22:K24)</f>
        <v>-311.66270000000003</v>
      </c>
      <c r="G11" s="11">
        <f>VLOOKUP(H11,'1-2-4'!I25:J26,2,FALSE)</f>
        <v>0</v>
      </c>
      <c r="H11" s="11">
        <f>MIN('1-2-4'!I25:I26)</f>
        <v>-217.99717999999999</v>
      </c>
      <c r="I11" s="11">
        <f>MIN('1-2-4'!K25:K26)</f>
        <v>-182.84110000000001</v>
      </c>
    </row>
    <row r="12" spans="1:13">
      <c r="A12" s="44"/>
      <c r="B12" s="43"/>
      <c r="C12" s="10" t="s">
        <v>52</v>
      </c>
      <c r="D12" s="11">
        <f>VLOOKUP(E12,'1-2-4'!I22:J24,2,FALSE)</f>
        <v>0</v>
      </c>
      <c r="E12" s="11">
        <f>MAX('1-2-4'!$I22:$I24)</f>
        <v>-103.489395</v>
      </c>
      <c r="F12" s="11">
        <f>MAX('1-2-4'!K22:K24)</f>
        <v>-131.26495</v>
      </c>
      <c r="G12" s="11">
        <f>VLOOKUP(H12,'1-2-4'!I25:J26,2,FALSE)</f>
        <v>0</v>
      </c>
      <c r="H12" s="11">
        <f>MAX('1-2-4'!I25:I26)</f>
        <v>-46.187579999999997</v>
      </c>
      <c r="I12" s="11">
        <f>MAX('1-2-4'!K25:K26)</f>
        <v>-145.45310000000003</v>
      </c>
    </row>
    <row r="13" spans="1:13">
      <c r="A13" s="44"/>
      <c r="B13" s="37" t="s">
        <v>40</v>
      </c>
      <c r="C13" s="10" t="s">
        <v>50</v>
      </c>
      <c r="D13" s="11">
        <f>VLOOKUP(E13,'1-2-4'!I27:J29,2,FALSE)</f>
        <v>0</v>
      </c>
      <c r="E13" s="11">
        <f>MIN('1-2-4'!$I27:$I29)</f>
        <v>101.73016999999999</v>
      </c>
      <c r="F13" s="11">
        <f>MIN('1-2-4'!K27:K29)</f>
        <v>26.595099999999999</v>
      </c>
      <c r="G13" s="11">
        <f>VLOOKUP(H13,'1-2-4'!I30:J31,2,FALSE)</f>
        <v>0</v>
      </c>
      <c r="H13" s="11">
        <f>MIN('1-2-4'!I30:I31)</f>
        <v>145.90872999999999</v>
      </c>
      <c r="I13" s="11">
        <f>MIN('1-2-4'!K30:K31)</f>
        <v>2.0177999999999976</v>
      </c>
    </row>
    <row r="14" spans="1:13">
      <c r="A14" s="44"/>
      <c r="B14" s="43"/>
      <c r="C14" s="10" t="s">
        <v>52</v>
      </c>
      <c r="D14" s="11">
        <f>VLOOKUP(E14,'1-2-4'!I27:J29,2,FALSE)</f>
        <v>0</v>
      </c>
      <c r="E14" s="11">
        <f>MAX('1-2-4'!$I27:$I29)</f>
        <v>320.75589500000001</v>
      </c>
      <c r="F14" s="11">
        <f>MAX('1-2-4'!K27:K29)</f>
        <v>37.899149999999999</v>
      </c>
      <c r="G14" s="11">
        <f>VLOOKUP(H14,'1-2-4'!I30:J31,2,FALSE)</f>
        <v>0</v>
      </c>
      <c r="H14" s="11">
        <f>MAX('1-2-4'!I30:I31)</f>
        <v>167.23392999999999</v>
      </c>
      <c r="I14" s="11">
        <f>MAX('1-2-4'!K30:K31)</f>
        <v>39.405799999999999</v>
      </c>
    </row>
    <row r="15" spans="1:13">
      <c r="A15" s="44"/>
      <c r="B15" s="37" t="s">
        <v>41</v>
      </c>
      <c r="C15" s="10" t="s">
        <v>50</v>
      </c>
      <c r="D15" s="11">
        <f>VLOOKUP(E15,'1-2-4'!I32:J34,2,FALSE)</f>
        <v>0</v>
      </c>
      <c r="E15" s="11">
        <f>MIN('1-2-4'!$I32:$I34)</f>
        <v>-546.78492000000006</v>
      </c>
      <c r="F15" s="11">
        <f>MIN('1-2-4'!K32:K34)</f>
        <v>189.85005000000001</v>
      </c>
      <c r="G15" s="11">
        <f>VLOOKUP(H15,'1-2-4'!I35:J36,2,FALSE)</f>
        <v>0</v>
      </c>
      <c r="H15" s="11">
        <f>MIN('1-2-4'!I35:I36)</f>
        <v>-363.39864</v>
      </c>
      <c r="I15" s="11">
        <f>MIN('1-2-4'!K35:K36)</f>
        <v>186.87569999999999</v>
      </c>
    </row>
    <row r="16" spans="1:13">
      <c r="A16" s="43"/>
      <c r="B16" s="43"/>
      <c r="C16" s="10" t="s">
        <v>52</v>
      </c>
      <c r="D16" s="11">
        <f>VLOOKUP(E16,'1-2-4'!I32:J34,2,FALSE)</f>
        <v>0</v>
      </c>
      <c r="E16" s="11">
        <f>MAX('1-2-4'!$I32:$I34)</f>
        <v>-339.29320000000007</v>
      </c>
      <c r="F16" s="11">
        <f>MAX('1-2-4'!K32:K34)</f>
        <v>376.15560000000005</v>
      </c>
      <c r="G16" s="11">
        <f>VLOOKUP(H16,'1-2-4'!I35:J36,2,FALSE)</f>
        <v>0</v>
      </c>
      <c r="H16" s="11">
        <f>MAX('1-2-4'!I35:I36)</f>
        <v>-234.23964000000001</v>
      </c>
      <c r="I16" s="11">
        <f>MAX('1-2-4'!K35:K36)</f>
        <v>224.26369999999997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3:A6"/>
    <mergeCell ref="A7:A10"/>
    <mergeCell ref="B7:B8"/>
    <mergeCell ref="B9:B10"/>
    <mergeCell ref="A11:A16"/>
    <mergeCell ref="B11:B12"/>
    <mergeCell ref="B13:B14"/>
    <mergeCell ref="B15:B16"/>
    <mergeCell ref="B3:B4"/>
    <mergeCell ref="B5:B6"/>
    <mergeCell ref="A1:A2"/>
    <mergeCell ref="B1:B2"/>
    <mergeCell ref="C1:C2"/>
    <mergeCell ref="D1:F1"/>
    <mergeCell ref="G1:I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panagop</dc:creator>
  <cp:keywords/>
  <dc:description/>
  <cp:lastModifiedBy/>
  <cp:revision/>
  <dcterms:created xsi:type="dcterms:W3CDTF">2020-09-30T10:48:04Z</dcterms:created>
  <dcterms:modified xsi:type="dcterms:W3CDTF">2026-05-07T16:04:14Z</dcterms:modified>
  <cp:category/>
  <cp:contentStatus/>
</cp:coreProperties>
</file>