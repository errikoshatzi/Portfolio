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D:\my_repos\eMaterial\lessons\reinforced_concrete_iii\homework\"/>
    </mc:Choice>
  </mc:AlternateContent>
  <xr:revisionPtr revIDLastSave="0" documentId="8_{484EEEDC-1129-44EA-880B-6159951558C3}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R18" i="1"/>
  <c r="T18" i="1"/>
  <c r="V18" i="1"/>
  <c r="O18" i="1"/>
  <c r="H9" i="1"/>
  <c r="P9" i="1" s="1"/>
  <c r="P18" i="1" s="1"/>
  <c r="K11" i="1"/>
  <c r="S11" i="1" s="1"/>
  <c r="K10" i="1"/>
  <c r="S10" i="1" s="1"/>
  <c r="S18" i="1" s="1"/>
  <c r="M5" i="1"/>
  <c r="U5" i="1" s="1"/>
  <c r="M6" i="1"/>
  <c r="U6" i="1" s="1"/>
  <c r="M7" i="1"/>
  <c r="U7" i="1"/>
  <c r="M8" i="1"/>
  <c r="U8" i="1" s="1"/>
  <c r="M4" i="1"/>
  <c r="U4" i="1" s="1"/>
  <c r="U18" i="1" s="1"/>
  <c r="P2" i="1"/>
  <c r="Q2" i="1"/>
  <c r="R2" i="1"/>
  <c r="S2" i="1" s="1"/>
  <c r="T2" i="1" s="1"/>
  <c r="U2" i="1" s="1"/>
  <c r="V2" i="1" s="1"/>
  <c r="H2" i="1"/>
  <c r="I2" i="1" s="1"/>
  <c r="J2" i="1" s="1"/>
  <c r="K2" i="1" s="1"/>
  <c r="L2" i="1" s="1"/>
  <c r="M2" i="1" s="1"/>
  <c r="N2" i="1" s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O19" i="1" l="1"/>
</calcChain>
</file>

<file path=xl/sharedStrings.xml><?xml version="1.0" encoding="utf-8"?>
<sst xmlns="http://schemas.openxmlformats.org/spreadsheetml/2006/main" count="19" uniqueCount="14">
  <si>
    <t>α/α</t>
  </si>
  <si>
    <t>Δομικό στοιχείο</t>
  </si>
  <si>
    <t>Μορφή οπλισμού</t>
  </si>
  <si>
    <t>Μήκος (m)</t>
  </si>
  <si>
    <t>Αριθμός όμοιων τεμαχίων</t>
  </si>
  <si>
    <t>Αριθμός όμοιων δομικών στοιχείων</t>
  </si>
  <si>
    <t>Συνολικό μήκος ανά διάμετρο (m)</t>
  </si>
  <si>
    <t>Συνολικό βάρος ανά διάμετρο (kg)</t>
  </si>
  <si>
    <t>Αριστερή δοκός</t>
  </si>
  <si>
    <t>Στήριξη δοκών</t>
  </si>
  <si>
    <t>Αριστερός στύλος</t>
  </si>
  <si>
    <t>προσθέστε όσες γραμμές απαιτηθούν</t>
  </si>
  <si>
    <t>Αθροίσματα</t>
  </si>
  <si>
    <t>Συνολικό βάρος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</si>
</sst>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Φ##"/>
  </numFmts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3</xdr:row>
      <xdr:rowOff>200025</xdr:rowOff>
    </xdr:from>
    <xdr:to>
      <xdr:col>2</xdr:col>
      <xdr:colOff>1447800</xdr:colOff>
      <xdr:row>3</xdr:row>
      <xdr:rowOff>295275</xdr:rowOff>
    </xdr:to>
    <xdr:grpSp>
      <xdr:nvGrpSpPr>
        <xdr:cNvPr id="1378" name="Group 5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GrpSpPr>
          <a:grpSpLocks/>
        </xdr:cNvGrpSpPr>
      </xdr:nvGrpSpPr>
      <xdr:grpSpPr bwMode="auto">
        <a:xfrm>
          <a:off x="1504950" y="962025"/>
          <a:ext cx="1352550" cy="95250"/>
          <a:chOff x="704850" y="607695"/>
          <a:chExt cx="1352550" cy="95250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704850" y="607695"/>
            <a:ext cx="13525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704850" y="607695"/>
            <a:ext cx="0" cy="952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95250</xdr:colOff>
      <xdr:row>4</xdr:row>
      <xdr:rowOff>190500</xdr:rowOff>
    </xdr:from>
    <xdr:to>
      <xdr:col>2</xdr:col>
      <xdr:colOff>1009650</xdr:colOff>
      <xdr:row>4</xdr:row>
      <xdr:rowOff>285750</xdr:rowOff>
    </xdr:to>
    <xdr:grpSp>
      <xdr:nvGrpSpPr>
        <xdr:cNvPr id="1379" name="Group 7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GrpSpPr>
          <a:grpSpLocks/>
        </xdr:cNvGrpSpPr>
      </xdr:nvGrpSpPr>
      <xdr:grpSpPr bwMode="auto">
        <a:xfrm>
          <a:off x="1504950" y="1362075"/>
          <a:ext cx="914400" cy="95250"/>
          <a:chOff x="704850" y="607695"/>
          <a:chExt cx="1352550" cy="95250"/>
        </a:xfrm>
      </xdr:grpSpPr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704850" y="607695"/>
            <a:ext cx="13525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704850" y="607695"/>
            <a:ext cx="0" cy="952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95250</xdr:colOff>
      <xdr:row>5</xdr:row>
      <xdr:rowOff>209550</xdr:rowOff>
    </xdr:from>
    <xdr:to>
      <xdr:col>2</xdr:col>
      <xdr:colOff>1447800</xdr:colOff>
      <xdr:row>5</xdr:row>
      <xdr:rowOff>304800</xdr:rowOff>
    </xdr:to>
    <xdr:grpSp>
      <xdr:nvGrpSpPr>
        <xdr:cNvPr id="1380" name="Group 10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GrpSpPr>
          <a:grpSpLocks/>
        </xdr:cNvGrpSpPr>
      </xdr:nvGrpSpPr>
      <xdr:grpSpPr bwMode="auto">
        <a:xfrm flipV="1">
          <a:off x="1504950" y="1790700"/>
          <a:ext cx="1352550" cy="95250"/>
          <a:chOff x="704850" y="607695"/>
          <a:chExt cx="1352550" cy="95250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>
          <a:xfrm>
            <a:off x="704850" y="607695"/>
            <a:ext cx="135255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>
            <a:off x="704850" y="607695"/>
            <a:ext cx="0" cy="952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87630</xdr:colOff>
      <xdr:row>6</xdr:row>
      <xdr:rowOff>268529</xdr:rowOff>
    </xdr:from>
    <xdr:to>
      <xdr:col>2</xdr:col>
      <xdr:colOff>1440180</xdr:colOff>
      <xdr:row>6</xdr:row>
      <xdr:rowOff>268529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697230" y="1914449"/>
          <a:ext cx="1352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7</xdr:row>
      <xdr:rowOff>228600</xdr:rowOff>
    </xdr:from>
    <xdr:to>
      <xdr:col>2</xdr:col>
      <xdr:colOff>1447800</xdr:colOff>
      <xdr:row>7</xdr:row>
      <xdr:rowOff>228600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704975" y="2628900"/>
          <a:ext cx="1352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9</xdr:row>
      <xdr:rowOff>47625</xdr:rowOff>
    </xdr:from>
    <xdr:to>
      <xdr:col>2</xdr:col>
      <xdr:colOff>895350</xdr:colOff>
      <xdr:row>9</xdr:row>
      <xdr:rowOff>581025</xdr:rowOff>
    </xdr:to>
    <xdr:grpSp>
      <xdr:nvGrpSpPr>
        <xdr:cNvPr id="1383" name="Group 28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GrpSpPr>
          <a:grpSpLocks/>
        </xdr:cNvGrpSpPr>
      </xdr:nvGrpSpPr>
      <xdr:grpSpPr bwMode="auto">
        <a:xfrm>
          <a:off x="1952625" y="3571875"/>
          <a:ext cx="352425" cy="533400"/>
          <a:chOff x="1957911" y="2864651"/>
          <a:chExt cx="349172" cy="536150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CxnSpPr/>
        </xdr:nvCxnSpPr>
        <xdr:spPr>
          <a:xfrm>
            <a:off x="1957911" y="2864651"/>
            <a:ext cx="349172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CxnSpPr/>
        </xdr:nvCxnSpPr>
        <xdr:spPr>
          <a:xfrm flipH="1">
            <a:off x="1957911" y="2864651"/>
            <a:ext cx="0" cy="5361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657225</xdr:colOff>
      <xdr:row>10</xdr:row>
      <xdr:rowOff>38100</xdr:rowOff>
    </xdr:from>
    <xdr:to>
      <xdr:col>2</xdr:col>
      <xdr:colOff>733425</xdr:colOff>
      <xdr:row>10</xdr:row>
      <xdr:rowOff>571500</xdr:rowOff>
    </xdr:to>
    <xdr:grpSp>
      <xdr:nvGrpSpPr>
        <xdr:cNvPr id="1384" name="Group 25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GrpSpPr>
          <a:grpSpLocks/>
        </xdr:cNvGrpSpPr>
      </xdr:nvGrpSpPr>
      <xdr:grpSpPr bwMode="auto">
        <a:xfrm>
          <a:off x="2066925" y="4181475"/>
          <a:ext cx="76200" cy="533400"/>
          <a:chOff x="1562910" y="2865606"/>
          <a:chExt cx="74579" cy="533806"/>
        </a:xfrm>
      </xdr:grpSpPr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1562910" y="2865606"/>
            <a:ext cx="7457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/>
        </xdr:nvCxnSpPr>
        <xdr:spPr>
          <a:xfrm flipH="1">
            <a:off x="1572232" y="2865606"/>
            <a:ext cx="0" cy="53380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476250</xdr:colOff>
      <xdr:row>8</xdr:row>
      <xdr:rowOff>47625</xdr:rowOff>
    </xdr:from>
    <xdr:to>
      <xdr:col>2</xdr:col>
      <xdr:colOff>762000</xdr:colOff>
      <xdr:row>8</xdr:row>
      <xdr:rowOff>647700</xdr:rowOff>
    </xdr:to>
    <xdr:grpSp>
      <xdr:nvGrpSpPr>
        <xdr:cNvPr id="1385" name="Group 40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GrpSpPr>
          <a:grpSpLocks/>
        </xdr:cNvGrpSpPr>
      </xdr:nvGrpSpPr>
      <xdr:grpSpPr bwMode="auto">
        <a:xfrm>
          <a:off x="1885950" y="2857500"/>
          <a:ext cx="285750" cy="600075"/>
          <a:chOff x="1882091" y="2855119"/>
          <a:chExt cx="284847" cy="605084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1882091" y="2912746"/>
            <a:ext cx="0" cy="54745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CxnSpPr/>
        </xdr:nvCxnSpPr>
        <xdr:spPr>
          <a:xfrm>
            <a:off x="2166938" y="2912746"/>
            <a:ext cx="0" cy="54745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CxnSpPr/>
        </xdr:nvCxnSpPr>
        <xdr:spPr>
          <a:xfrm>
            <a:off x="1882091" y="3460203"/>
            <a:ext cx="284847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 flipV="1">
            <a:off x="1882091" y="2855119"/>
            <a:ext cx="265857" cy="57627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/>
        </xdr:nvCxnSpPr>
        <xdr:spPr>
          <a:xfrm flipH="1">
            <a:off x="2100474" y="2855119"/>
            <a:ext cx="47475" cy="7683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/>
        </xdr:nvCxnSpPr>
        <xdr:spPr>
          <a:xfrm flipH="1">
            <a:off x="2128958" y="2912746"/>
            <a:ext cx="37980" cy="76836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zoomScale="85" zoomScaleNormal="85" workbookViewId="0">
      <selection activeCell="O19" sqref="O19:V19"/>
    </sheetView>
  </sheetViews>
  <sheetFormatPr defaultRowHeight="32.25" customHeight="1"/>
  <cols>
    <col min="1" max="1" width="9.140625" style="1"/>
    <col min="2" max="2" width="12" style="5" customWidth="1"/>
    <col min="3" max="3" width="22.7109375" style="1" customWidth="1"/>
    <col min="4" max="4" width="10.7109375" style="1" customWidth="1"/>
    <col min="5" max="5" width="17.42578125" style="1" customWidth="1"/>
    <col min="6" max="6" width="18.5703125" style="1" customWidth="1"/>
    <col min="7" max="16384" width="9.140625" style="1"/>
  </cols>
  <sheetData>
    <row r="1" spans="1:22" ht="30" customHeight="1">
      <c r="A1" s="10" t="s">
        <v>0</v>
      </c>
      <c r="B1" s="13" t="s">
        <v>1</v>
      </c>
      <c r="C1" s="10" t="s">
        <v>2</v>
      </c>
      <c r="D1" s="10" t="s">
        <v>3</v>
      </c>
      <c r="E1" s="13" t="s">
        <v>4</v>
      </c>
      <c r="F1" s="13" t="s">
        <v>5</v>
      </c>
      <c r="G1" s="10" t="s">
        <v>6</v>
      </c>
      <c r="H1" s="10"/>
      <c r="I1" s="10"/>
      <c r="J1" s="10"/>
      <c r="K1" s="10"/>
      <c r="L1" s="10"/>
      <c r="M1" s="10"/>
      <c r="N1" s="10"/>
      <c r="O1" s="10" t="s">
        <v>7</v>
      </c>
      <c r="P1" s="10"/>
      <c r="Q1" s="10"/>
      <c r="R1" s="10"/>
      <c r="S1" s="10"/>
      <c r="T1" s="10"/>
      <c r="U1" s="10"/>
      <c r="V1" s="10"/>
    </row>
    <row r="2" spans="1:22" ht="15">
      <c r="A2" s="10"/>
      <c r="B2" s="13"/>
      <c r="C2" s="10"/>
      <c r="D2" s="10"/>
      <c r="E2" s="13"/>
      <c r="F2" s="13"/>
      <c r="G2" s="11">
        <v>8</v>
      </c>
      <c r="H2" s="11">
        <f>G2+2</f>
        <v>10</v>
      </c>
      <c r="I2" s="11">
        <f t="shared" ref="I2:N2" si="0">H2+2</f>
        <v>12</v>
      </c>
      <c r="J2" s="11">
        <f t="shared" si="0"/>
        <v>14</v>
      </c>
      <c r="K2" s="11">
        <f t="shared" si="0"/>
        <v>16</v>
      </c>
      <c r="L2" s="11">
        <f t="shared" si="0"/>
        <v>18</v>
      </c>
      <c r="M2" s="11">
        <f t="shared" si="0"/>
        <v>20</v>
      </c>
      <c r="N2" s="11">
        <f t="shared" si="0"/>
        <v>22</v>
      </c>
      <c r="O2" s="7">
        <v>8</v>
      </c>
      <c r="P2" s="7">
        <f>O2+2</f>
        <v>10</v>
      </c>
      <c r="Q2" s="7">
        <f t="shared" ref="Q2:V2" si="1">P2+2</f>
        <v>12</v>
      </c>
      <c r="R2" s="7">
        <f t="shared" si="1"/>
        <v>14</v>
      </c>
      <c r="S2" s="7">
        <f t="shared" si="1"/>
        <v>16</v>
      </c>
      <c r="T2" s="7">
        <f t="shared" si="1"/>
        <v>18</v>
      </c>
      <c r="U2" s="7">
        <f t="shared" si="1"/>
        <v>20</v>
      </c>
      <c r="V2" s="7">
        <f t="shared" si="1"/>
        <v>22</v>
      </c>
    </row>
    <row r="3" spans="1:22" ht="15">
      <c r="A3" s="10"/>
      <c r="B3" s="13"/>
      <c r="C3" s="10"/>
      <c r="D3" s="10"/>
      <c r="E3" s="13"/>
      <c r="F3" s="13"/>
      <c r="G3" s="11"/>
      <c r="H3" s="11"/>
      <c r="I3" s="11"/>
      <c r="J3" s="11"/>
      <c r="K3" s="11"/>
      <c r="L3" s="11"/>
      <c r="M3" s="11"/>
      <c r="N3" s="11"/>
      <c r="O3" s="8">
        <v>0.39500000000000002</v>
      </c>
      <c r="P3" s="8">
        <v>0.61699999999999999</v>
      </c>
      <c r="Q3" s="8">
        <v>0.88800000000000001</v>
      </c>
      <c r="R3" s="8">
        <v>1.208</v>
      </c>
      <c r="S3" s="8">
        <v>1.5780000000000001</v>
      </c>
      <c r="T3" s="8">
        <v>1.998</v>
      </c>
      <c r="U3" s="8">
        <v>2.4660000000000002</v>
      </c>
      <c r="V3" s="8">
        <v>2.984</v>
      </c>
    </row>
    <row r="4" spans="1:22" ht="32.25" customHeight="1">
      <c r="A4" s="2">
        <v>1</v>
      </c>
      <c r="B4" s="4" t="s">
        <v>8</v>
      </c>
      <c r="C4" s="2"/>
      <c r="D4" s="2">
        <v>14.83</v>
      </c>
      <c r="E4" s="2">
        <v>3</v>
      </c>
      <c r="F4" s="2">
        <v>2</v>
      </c>
      <c r="G4" s="3"/>
      <c r="H4" s="3"/>
      <c r="I4" s="3"/>
      <c r="J4" s="3"/>
      <c r="K4" s="3"/>
      <c r="L4" s="3"/>
      <c r="M4" s="3">
        <f>D4*E4*F4</f>
        <v>88.98</v>
      </c>
      <c r="N4" s="3"/>
      <c r="O4" s="3"/>
      <c r="P4" s="3"/>
      <c r="Q4" s="3"/>
      <c r="R4" s="3"/>
      <c r="S4" s="3"/>
      <c r="T4" s="3"/>
      <c r="U4" s="3">
        <f>M4*U$3</f>
        <v>219.42468000000002</v>
      </c>
      <c r="V4" s="3"/>
    </row>
    <row r="5" spans="1:22" ht="32.25" customHeight="1">
      <c r="A5" s="2">
        <f>A4+1</f>
        <v>2</v>
      </c>
      <c r="B5" s="4" t="s">
        <v>8</v>
      </c>
      <c r="C5" s="2"/>
      <c r="D5" s="2">
        <v>4.83</v>
      </c>
      <c r="E5" s="2">
        <v>2</v>
      </c>
      <c r="F5" s="2">
        <v>2</v>
      </c>
      <c r="G5" s="3"/>
      <c r="H5" s="3"/>
      <c r="I5" s="3"/>
      <c r="J5" s="3"/>
      <c r="K5" s="3"/>
      <c r="L5" s="3"/>
      <c r="M5" s="3">
        <f>D5*E5*F5</f>
        <v>19.32</v>
      </c>
      <c r="N5" s="3"/>
      <c r="O5" s="3"/>
      <c r="P5" s="3"/>
      <c r="Q5" s="3"/>
      <c r="R5" s="3"/>
      <c r="S5" s="3"/>
      <c r="T5" s="3"/>
      <c r="U5" s="3">
        <f>M5*U$3</f>
        <v>47.643120000000003</v>
      </c>
      <c r="V5" s="3"/>
    </row>
    <row r="6" spans="1:22" ht="32.25" customHeight="1">
      <c r="A6" s="2">
        <f t="shared" ref="A6:A16" si="2">A5+1</f>
        <v>3</v>
      </c>
      <c r="B6" s="4" t="s">
        <v>8</v>
      </c>
      <c r="C6" s="2"/>
      <c r="D6" s="2">
        <v>14.05</v>
      </c>
      <c r="E6" s="2">
        <v>3</v>
      </c>
      <c r="F6" s="2">
        <v>2</v>
      </c>
      <c r="G6" s="3"/>
      <c r="H6" s="3"/>
      <c r="I6" s="3"/>
      <c r="J6" s="3"/>
      <c r="K6" s="3"/>
      <c r="L6" s="3"/>
      <c r="M6" s="3">
        <f>D6*E6*F6</f>
        <v>84.300000000000011</v>
      </c>
      <c r="N6" s="3"/>
      <c r="O6" s="3"/>
      <c r="P6" s="3"/>
      <c r="Q6" s="3"/>
      <c r="R6" s="3"/>
      <c r="S6" s="3"/>
      <c r="T6" s="3"/>
      <c r="U6" s="3">
        <f>M6*U$3</f>
        <v>207.88380000000004</v>
      </c>
      <c r="V6" s="3"/>
    </row>
    <row r="7" spans="1:22" ht="32.25" customHeight="1">
      <c r="A7" s="2">
        <f t="shared" si="2"/>
        <v>4</v>
      </c>
      <c r="B7" s="4" t="s">
        <v>8</v>
      </c>
      <c r="C7" s="2"/>
      <c r="D7" s="2">
        <v>8</v>
      </c>
      <c r="E7" s="2">
        <v>3</v>
      </c>
      <c r="F7" s="2">
        <v>2</v>
      </c>
      <c r="G7" s="3"/>
      <c r="H7" s="3"/>
      <c r="I7" s="3"/>
      <c r="J7" s="3"/>
      <c r="K7" s="3"/>
      <c r="L7" s="3"/>
      <c r="M7" s="3">
        <f>D7*E7*F7</f>
        <v>48</v>
      </c>
      <c r="N7" s="3"/>
      <c r="O7" s="3"/>
      <c r="P7" s="3"/>
      <c r="Q7" s="3"/>
      <c r="R7" s="3"/>
      <c r="S7" s="3"/>
      <c r="T7" s="3"/>
      <c r="U7" s="3">
        <f>M7*U$3</f>
        <v>118.36800000000001</v>
      </c>
      <c r="V7" s="3"/>
    </row>
    <row r="8" spans="1:22" ht="32.25" customHeight="1">
      <c r="A8" s="2">
        <f t="shared" si="2"/>
        <v>5</v>
      </c>
      <c r="B8" s="4" t="s">
        <v>9</v>
      </c>
      <c r="C8" s="2"/>
      <c r="D8" s="2">
        <v>7.98</v>
      </c>
      <c r="E8" s="2">
        <v>5</v>
      </c>
      <c r="F8" s="2">
        <v>1</v>
      </c>
      <c r="G8" s="3"/>
      <c r="H8" s="3"/>
      <c r="I8" s="3"/>
      <c r="J8" s="3"/>
      <c r="K8" s="3"/>
      <c r="L8" s="3"/>
      <c r="M8" s="3">
        <f>D8*E8*F8</f>
        <v>39.900000000000006</v>
      </c>
      <c r="N8" s="3"/>
      <c r="O8" s="3"/>
      <c r="P8" s="3"/>
      <c r="Q8" s="3"/>
      <c r="R8" s="3"/>
      <c r="S8" s="3"/>
      <c r="T8" s="3"/>
      <c r="U8" s="3">
        <f>M8*U$3</f>
        <v>98.393400000000028</v>
      </c>
      <c r="V8" s="3"/>
    </row>
    <row r="9" spans="1:22" ht="56.25" customHeight="1">
      <c r="A9" s="2">
        <f t="shared" si="2"/>
        <v>6</v>
      </c>
      <c r="B9" s="4" t="s">
        <v>8</v>
      </c>
      <c r="C9" s="2"/>
      <c r="D9" s="2">
        <v>2.68</v>
      </c>
      <c r="E9" s="2">
        <v>50</v>
      </c>
      <c r="F9" s="2">
        <v>2</v>
      </c>
      <c r="G9" s="3"/>
      <c r="H9" s="3">
        <f>D9*E9*F9</f>
        <v>268</v>
      </c>
      <c r="I9" s="3"/>
      <c r="J9" s="3"/>
      <c r="K9" s="3"/>
      <c r="L9" s="3"/>
      <c r="N9" s="3"/>
      <c r="O9" s="3"/>
      <c r="P9" s="3">
        <f>H9*P$3</f>
        <v>165.35599999999999</v>
      </c>
      <c r="Q9" s="3"/>
      <c r="R9" s="3"/>
      <c r="S9" s="3"/>
      <c r="T9" s="3"/>
      <c r="U9" s="2"/>
      <c r="V9" s="3"/>
    </row>
    <row r="10" spans="1:22" ht="48.75" customHeight="1">
      <c r="A10" s="2">
        <f t="shared" si="2"/>
        <v>7</v>
      </c>
      <c r="B10" s="4" t="s">
        <v>10</v>
      </c>
      <c r="C10" s="2"/>
      <c r="D10" s="2">
        <v>8.64</v>
      </c>
      <c r="E10" s="2">
        <v>5</v>
      </c>
      <c r="F10" s="2">
        <v>2</v>
      </c>
      <c r="G10" s="3"/>
      <c r="H10" s="3"/>
      <c r="I10" s="3"/>
      <c r="J10" s="3"/>
      <c r="K10" s="3">
        <f>D10*E10*F10</f>
        <v>86.4</v>
      </c>
      <c r="L10" s="3"/>
      <c r="M10" s="2"/>
      <c r="N10" s="3"/>
      <c r="O10" s="3"/>
      <c r="P10" s="3"/>
      <c r="Q10" s="3"/>
      <c r="R10" s="3"/>
      <c r="S10" s="3">
        <f>K10*S$3</f>
        <v>136.33920000000001</v>
      </c>
      <c r="T10" s="3"/>
      <c r="U10" s="3"/>
      <c r="V10" s="3"/>
    </row>
    <row r="11" spans="1:22" ht="48.75" customHeight="1">
      <c r="A11" s="2">
        <f t="shared" si="2"/>
        <v>8</v>
      </c>
      <c r="B11" s="4" t="s">
        <v>10</v>
      </c>
      <c r="C11" s="2"/>
      <c r="D11" s="2">
        <v>6.64</v>
      </c>
      <c r="E11" s="2">
        <v>8</v>
      </c>
      <c r="F11" s="2">
        <v>2</v>
      </c>
      <c r="G11" s="3"/>
      <c r="H11" s="3"/>
      <c r="I11" s="3"/>
      <c r="J11" s="3"/>
      <c r="K11" s="3">
        <f>D11*E11*F11</f>
        <v>106.24</v>
      </c>
      <c r="L11" s="3"/>
      <c r="M11" s="2"/>
      <c r="N11" s="3"/>
      <c r="O11" s="3"/>
      <c r="P11" s="3"/>
      <c r="Q11" s="3"/>
      <c r="R11" s="3"/>
      <c r="S11" s="3">
        <f>K11*S$3</f>
        <v>167.64671999999999</v>
      </c>
      <c r="T11" s="3"/>
      <c r="U11" s="3"/>
      <c r="V11" s="3"/>
    </row>
    <row r="12" spans="1:22" ht="32.25" customHeight="1">
      <c r="A12" s="2">
        <f t="shared" si="2"/>
        <v>9</v>
      </c>
      <c r="B12" s="4"/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32.25" customHeight="1">
      <c r="A13" s="2">
        <f t="shared" si="2"/>
        <v>10</v>
      </c>
      <c r="B13" s="4"/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32.25" customHeight="1">
      <c r="A14" s="2">
        <f t="shared" si="2"/>
        <v>11</v>
      </c>
      <c r="B14" s="4"/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32.25" customHeight="1">
      <c r="A15" s="2">
        <f t="shared" si="2"/>
        <v>12</v>
      </c>
      <c r="B15" s="4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32.25" customHeight="1">
      <c r="A16" s="2">
        <f t="shared" si="2"/>
        <v>13</v>
      </c>
      <c r="B16" s="4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32.25" customHeight="1">
      <c r="A17" s="9" t="s">
        <v>11</v>
      </c>
    </row>
    <row r="18" spans="1:22" ht="32.25" customHeight="1">
      <c r="L18" s="10" t="s">
        <v>12</v>
      </c>
      <c r="M18" s="10"/>
      <c r="N18" s="10"/>
      <c r="O18" s="6">
        <f>SUM(O4:O16)</f>
        <v>0</v>
      </c>
      <c r="P18" s="6">
        <f t="shared" ref="P18:V18" si="3">SUM(P4:P16)</f>
        <v>165.35599999999999</v>
      </c>
      <c r="Q18" s="6">
        <f t="shared" si="3"/>
        <v>0</v>
      </c>
      <c r="R18" s="6">
        <f t="shared" si="3"/>
        <v>0</v>
      </c>
      <c r="S18" s="6">
        <f t="shared" si="3"/>
        <v>303.98591999999996</v>
      </c>
      <c r="T18" s="6">
        <f t="shared" si="3"/>
        <v>0</v>
      </c>
      <c r="U18" s="6">
        <f t="shared" si="3"/>
        <v>691.71300000000019</v>
      </c>
      <c r="V18" s="6">
        <f t="shared" si="3"/>
        <v>0</v>
      </c>
    </row>
    <row r="19" spans="1:22" ht="32.25" customHeight="1">
      <c r="L19" s="10" t="s">
        <v>13</v>
      </c>
      <c r="M19" s="10"/>
      <c r="N19" s="10"/>
      <c r="O19" s="12">
        <f>SUM(O18:V18)</f>
        <v>1161.05492</v>
      </c>
      <c r="P19" s="10"/>
      <c r="Q19" s="10"/>
      <c r="R19" s="10"/>
      <c r="S19" s="10"/>
      <c r="T19" s="10"/>
      <c r="U19" s="10"/>
      <c r="V19" s="10"/>
    </row>
  </sheetData>
  <mergeCells count="19">
    <mergeCell ref="L18:N18"/>
    <mergeCell ref="L19:N19"/>
    <mergeCell ref="O19:V19"/>
    <mergeCell ref="A1:A3"/>
    <mergeCell ref="B1:B3"/>
    <mergeCell ref="C1:C3"/>
    <mergeCell ref="D1:D3"/>
    <mergeCell ref="E1:E3"/>
    <mergeCell ref="F1:F3"/>
    <mergeCell ref="G1:N1"/>
    <mergeCell ref="O1:V1"/>
    <mergeCell ref="G2:G3"/>
    <mergeCell ref="H2:H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panagop</dc:creator>
  <cp:keywords/>
  <dc:description/>
  <cp:lastModifiedBy/>
  <cp:revision/>
  <dcterms:created xsi:type="dcterms:W3CDTF">2015-01-08T09:02:00Z</dcterms:created>
  <dcterms:modified xsi:type="dcterms:W3CDTF">2026-05-07T16:02:18Z</dcterms:modified>
  <cp:category/>
  <cp:contentStatus/>
</cp:coreProperties>
</file>